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updateLinks="never"/>
  <mc:AlternateContent xmlns:mc="http://schemas.openxmlformats.org/markup-compatibility/2006">
    <mc:Choice Requires="x15">
      <x15ac:absPath xmlns:x15ac="http://schemas.microsoft.com/office/spreadsheetml/2010/11/ac" url="C:\Users\gparra\Dropbox\202512\"/>
    </mc:Choice>
  </mc:AlternateContent>
  <xr:revisionPtr revIDLastSave="0" documentId="13_ncr:1_{F92A21C8-BA83-4CE7-BE0A-CDF5B5B1A832}" xr6:coauthVersionLast="47" xr6:coauthVersionMax="47" xr10:uidLastSave="{00000000-0000-0000-0000-000000000000}"/>
  <bookViews>
    <workbookView xWindow="-120" yWindow="-120" windowWidth="29040" windowHeight="15720" tabRatio="819" firstSheet="1" activeTab="1" xr2:uid="{00000000-000D-0000-FFFF-FFFF00000000}"/>
  </bookViews>
  <sheets>
    <sheet name="Fecha" sheetId="45" state="hidden" r:id="rId1"/>
    <sheet name="1" sheetId="1" r:id="rId2"/>
    <sheet name="2" sheetId="2" r:id="rId3"/>
    <sheet name="3" sheetId="3" r:id="rId4"/>
    <sheet name="4" sheetId="4" r:id="rId5"/>
    <sheet name="5" sheetId="17" r:id="rId6"/>
    <sheet name="6" sheetId="18" r:id="rId7"/>
    <sheet name="7" sheetId="19" r:id="rId8"/>
    <sheet name="8" sheetId="5" r:id="rId9"/>
    <sheet name="9" sheetId="6" r:id="rId10"/>
    <sheet name="10" sheetId="42" r:id="rId11"/>
    <sheet name="11" sheetId="43" r:id="rId12"/>
    <sheet name="12" sheetId="7" r:id="rId13"/>
    <sheet name="13" sheetId="21" r:id="rId14"/>
    <sheet name="14" sheetId="8" r:id="rId15"/>
    <sheet name="15" sheetId="23" r:id="rId16"/>
    <sheet name="16" sheetId="44" r:id="rId17"/>
    <sheet name="17" sheetId="9" r:id="rId18"/>
    <sheet name="18" sheetId="25" r:id="rId19"/>
    <sheet name="19" sheetId="11" r:id="rId20"/>
    <sheet name="20" sheetId="12" r:id="rId21"/>
    <sheet name="21" sheetId="13" r:id="rId22"/>
    <sheet name="22" sheetId="14" r:id="rId23"/>
    <sheet name="23" sheetId="22" r:id="rId24"/>
    <sheet name="24" sheetId="26" r:id="rId25"/>
    <sheet name="25" sheetId="27" r:id="rId26"/>
    <sheet name="26" sheetId="28" r:id="rId27"/>
    <sheet name="27" sheetId="29" r:id="rId28"/>
    <sheet name="28" sheetId="30" r:id="rId29"/>
    <sheet name="29" sheetId="31" r:id="rId30"/>
    <sheet name="30" sheetId="32" r:id="rId31"/>
    <sheet name="31" sheetId="33" r:id="rId32"/>
    <sheet name="32" sheetId="15" r:id="rId33"/>
    <sheet name="33" sheetId="16" r:id="rId3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75" i="14" l="1"/>
  <c r="G375" i="14" s="1"/>
  <c r="F302" i="2" l="1"/>
  <c r="DL44" i="15" l="1"/>
  <c r="U18" i="1"/>
  <c r="V18" i="1"/>
  <c r="W18" i="1"/>
  <c r="X18" i="1"/>
  <c r="F284" i="2"/>
  <c r="G352" i="14"/>
  <c r="B313" i="44" l="1"/>
  <c r="E309" i="13"/>
  <c r="F281" i="2"/>
  <c r="E327" i="14" l="1"/>
  <c r="G327" i="14" s="1"/>
  <c r="B287" i="44" l="1"/>
  <c r="F266" i="2" l="1"/>
  <c r="K50" i="15"/>
  <c r="K45" i="15"/>
  <c r="R51" i="15"/>
  <c r="R50" i="15"/>
  <c r="R48" i="15"/>
  <c r="Y51" i="15"/>
  <c r="Y50" i="15"/>
  <c r="Y48" i="15"/>
  <c r="Y44" i="15"/>
  <c r="AF51" i="15"/>
  <c r="AF50" i="15"/>
  <c r="AF48" i="15"/>
  <c r="AF47" i="15"/>
  <c r="AF44" i="15"/>
  <c r="AM51" i="15"/>
  <c r="AM50" i="15"/>
  <c r="AM48" i="15"/>
  <c r="AM47" i="15"/>
  <c r="AM44" i="15"/>
  <c r="AT50" i="15"/>
  <c r="AT48" i="15"/>
  <c r="AT44" i="15"/>
  <c r="AT47" i="15"/>
  <c r="BA52" i="15"/>
  <c r="BA51" i="15"/>
  <c r="BA48" i="15"/>
  <c r="BA47" i="15"/>
  <c r="BA44" i="15"/>
  <c r="BA45" i="15"/>
  <c r="BH48" i="15"/>
  <c r="BH51" i="15"/>
  <c r="BH47" i="15"/>
  <c r="BH44" i="15"/>
  <c r="BO52" i="15"/>
  <c r="BO51" i="15"/>
  <c r="BO48" i="15"/>
  <c r="BO47" i="15"/>
  <c r="BV52" i="15"/>
  <c r="BV51" i="15"/>
  <c r="BV48" i="15"/>
  <c r="BV47" i="15"/>
  <c r="CC52" i="15"/>
  <c r="CC51" i="15"/>
  <c r="CC48" i="15"/>
  <c r="CC47" i="15"/>
  <c r="CJ51" i="15"/>
  <c r="CJ47" i="15"/>
  <c r="CJ48" i="15"/>
  <c r="CJ44" i="15"/>
  <c r="CQ44" i="15"/>
  <c r="Z26" i="15"/>
  <c r="AG26" i="15"/>
  <c r="AN26" i="15"/>
  <c r="AU26" i="15"/>
  <c r="BB26" i="15"/>
  <c r="BI26" i="15"/>
  <c r="BP26" i="15"/>
  <c r="BW26" i="15"/>
  <c r="CD29" i="15"/>
  <c r="CD26" i="15"/>
  <c r="CK35" i="15"/>
  <c r="CK27" i="15"/>
  <c r="CK26" i="15"/>
  <c r="CR35" i="15"/>
  <c r="CR31" i="15"/>
  <c r="CR27" i="15"/>
  <c r="CR26" i="15"/>
  <c r="CY35" i="15"/>
  <c r="CX48" i="15" l="1"/>
  <c r="CY31" i="15"/>
  <c r="CY27" i="15" l="1"/>
  <c r="CX44" i="15"/>
  <c r="CY26" i="15"/>
  <c r="G329" i="14"/>
  <c r="E288" i="13" l="1"/>
  <c r="F263" i="2"/>
  <c r="U16" i="21" l="1"/>
  <c r="U13" i="21"/>
  <c r="U13" i="17"/>
  <c r="T18" i="1"/>
  <c r="E267" i="13" l="1"/>
  <c r="F245" i="2"/>
  <c r="E246" i="13" l="1"/>
  <c r="CK29" i="15" l="1"/>
  <c r="S18" i="1"/>
  <c r="D228" i="6" l="1"/>
  <c r="C228" i="6"/>
  <c r="F213" i="2"/>
  <c r="S19" i="7" l="1"/>
  <c r="G209" i="6"/>
  <c r="F209" i="6"/>
  <c r="F196" i="2"/>
  <c r="R18" i="1"/>
  <c r="E204" i="13"/>
  <c r="R19" i="7"/>
  <c r="F193" i="2"/>
  <c r="O17" i="43"/>
  <c r="P17" i="43"/>
  <c r="Q18" i="1"/>
  <c r="Q19" i="7"/>
  <c r="D201" i="42"/>
  <c r="D191" i="6"/>
  <c r="F181" i="2"/>
  <c r="G213" i="14"/>
  <c r="O167" i="44"/>
  <c r="G212" i="14"/>
  <c r="C188" i="6"/>
  <c r="E183" i="13"/>
  <c r="D175" i="42"/>
  <c r="Q10" i="5"/>
  <c r="F176" i="2"/>
  <c r="P18" i="1"/>
  <c r="D170" i="6"/>
  <c r="F163" i="2"/>
  <c r="BI29" i="15"/>
  <c r="F159" i="2"/>
  <c r="F162" i="2"/>
  <c r="BH45" i="15"/>
  <c r="P10" i="28"/>
  <c r="E185" i="14"/>
  <c r="F157" i="2"/>
  <c r="E192" i="14"/>
  <c r="G192" i="14" s="1"/>
  <c r="E167" i="13"/>
  <c r="F164" i="2"/>
  <c r="B148" i="44"/>
  <c r="N17" i="43"/>
  <c r="M17" i="43"/>
  <c r="L17" i="43"/>
  <c r="P19" i="7"/>
  <c r="O19" i="7"/>
  <c r="N19" i="7"/>
  <c r="M18" i="11"/>
  <c r="N18" i="11"/>
  <c r="O18" i="1"/>
  <c r="F138" i="2"/>
  <c r="E166" i="14"/>
  <c r="G166" i="14" s="1"/>
  <c r="F142" i="2"/>
  <c r="E169" i="14"/>
  <c r="G169" i="14"/>
  <c r="F145" i="2"/>
  <c r="G168" i="14"/>
  <c r="D150" i="42"/>
  <c r="D148" i="6"/>
  <c r="O16" i="3"/>
  <c r="F144" i="2"/>
  <c r="F143" i="2"/>
  <c r="G140" i="2"/>
  <c r="G147" i="2" s="1"/>
  <c r="E138" i="13"/>
  <c r="D125" i="12"/>
  <c r="O10" i="5"/>
  <c r="F139" i="2"/>
  <c r="E161" i="14"/>
  <c r="G161" i="14" s="1"/>
  <c r="B125" i="44"/>
  <c r="E147" i="2"/>
  <c r="D147" i="2"/>
  <c r="C147" i="2"/>
  <c r="B147" i="2"/>
  <c r="F147" i="2" s="1"/>
  <c r="N12" i="4"/>
  <c r="N12" i="1"/>
  <c r="N13" i="1"/>
  <c r="F118" i="2"/>
  <c r="AU33" i="15"/>
  <c r="B79" i="44"/>
  <c r="B58" i="44"/>
  <c r="B37" i="44"/>
  <c r="B16" i="44"/>
  <c r="D124" i="42"/>
  <c r="G128" i="2"/>
  <c r="F124" i="2"/>
  <c r="D112" i="12"/>
  <c r="F119" i="2"/>
  <c r="E128" i="2"/>
  <c r="D128" i="2"/>
  <c r="C128" i="2"/>
  <c r="B128" i="2"/>
  <c r="L18" i="11"/>
  <c r="K18" i="11"/>
  <c r="J18" i="11"/>
  <c r="I18" i="11"/>
  <c r="H18" i="11"/>
  <c r="M19" i="7"/>
  <c r="L19" i="7"/>
  <c r="K19" i="7"/>
  <c r="J19" i="7"/>
  <c r="K17" i="43"/>
  <c r="J17" i="43"/>
  <c r="I17" i="43"/>
  <c r="H17" i="43"/>
  <c r="L17" i="4"/>
  <c r="K17" i="4"/>
  <c r="J17" i="4"/>
  <c r="L18" i="1"/>
  <c r="K18" i="1"/>
  <c r="J18" i="1"/>
  <c r="I18" i="1"/>
  <c r="F120" i="14"/>
  <c r="D120" i="14"/>
  <c r="C120" i="14"/>
  <c r="M12" i="4"/>
  <c r="M17" i="4"/>
  <c r="M18" i="1"/>
  <c r="E49" i="14"/>
  <c r="G49" i="14" s="1"/>
  <c r="H93" i="42"/>
  <c r="G93" i="42"/>
  <c r="F93" i="42"/>
  <c r="F72" i="42"/>
  <c r="G72" i="42"/>
  <c r="H72" i="42"/>
  <c r="H51" i="42"/>
  <c r="G51" i="42"/>
  <c r="F51" i="42"/>
  <c r="E32" i="13"/>
  <c r="D87" i="12"/>
  <c r="D68" i="12"/>
  <c r="D49" i="12"/>
  <c r="M10" i="5"/>
  <c r="L10" i="5"/>
  <c r="K10" i="5"/>
  <c r="J10" i="5"/>
  <c r="G71" i="2"/>
  <c r="AM45" i="15"/>
  <c r="AF45" i="15"/>
  <c r="Y45" i="15"/>
  <c r="R45" i="15"/>
  <c r="D45" i="15"/>
  <c r="F107" i="2"/>
  <c r="G10" i="14"/>
  <c r="G109" i="2"/>
  <c r="E109" i="2"/>
  <c r="D109" i="2"/>
  <c r="C109" i="2"/>
  <c r="B109" i="2"/>
  <c r="G90" i="2"/>
  <c r="E90" i="2"/>
  <c r="D90" i="2"/>
  <c r="C90" i="2"/>
  <c r="B90" i="2"/>
  <c r="E71" i="2"/>
  <c r="D71" i="2"/>
  <c r="C71" i="2"/>
  <c r="B71" i="2"/>
  <c r="G52" i="2"/>
  <c r="E52" i="2"/>
  <c r="D52" i="2"/>
  <c r="C52" i="2"/>
  <c r="B52" i="2"/>
  <c r="F52" i="2" s="1"/>
  <c r="D19" i="12"/>
  <c r="C19" i="12"/>
  <c r="B19" i="12"/>
  <c r="G18" i="11"/>
  <c r="I19" i="7"/>
  <c r="I17" i="4"/>
  <c r="G33" i="2"/>
  <c r="B33" i="2"/>
  <c r="C33" i="2"/>
  <c r="D33" i="2"/>
  <c r="E33" i="2"/>
  <c r="F33" i="2" s="1"/>
  <c r="B3" i="45"/>
  <c r="D3" i="45"/>
  <c r="E3" i="45"/>
  <c r="H3" i="45"/>
  <c r="F3" i="45" s="1"/>
  <c r="G3" i="45"/>
  <c r="I3" i="45"/>
  <c r="J3" i="45"/>
  <c r="B4" i="45"/>
  <c r="C4" i="45"/>
  <c r="D4" i="45"/>
  <c r="E4" i="45"/>
  <c r="H4" i="45"/>
  <c r="F4" i="45" s="1"/>
  <c r="G4" i="45"/>
  <c r="I4" i="45"/>
  <c r="J4" i="45"/>
  <c r="B5" i="45"/>
  <c r="C5" i="45"/>
  <c r="D5" i="45"/>
  <c r="E5" i="45"/>
  <c r="H5" i="45"/>
  <c r="F5" i="45" s="1"/>
  <c r="G5" i="45"/>
  <c r="I5" i="45"/>
  <c r="J5" i="45"/>
  <c r="B6" i="45"/>
  <c r="C6" i="45"/>
  <c r="C7" i="45" s="1"/>
  <c r="C8" i="45" s="1"/>
  <c r="D6" i="45"/>
  <c r="E6" i="45"/>
  <c r="H6" i="45"/>
  <c r="F6" i="45" s="1"/>
  <c r="G20" i="45"/>
  <c r="G6" i="45"/>
  <c r="I6" i="45"/>
  <c r="J6" i="45"/>
  <c r="B7" i="45"/>
  <c r="D7" i="45"/>
  <c r="E7" i="45"/>
  <c r="H7" i="45"/>
  <c r="F7" i="45"/>
  <c r="G21" i="45"/>
  <c r="G7" i="45" s="1"/>
  <c r="I7" i="45"/>
  <c r="J7" i="45"/>
  <c r="B8" i="45"/>
  <c r="D8" i="45"/>
  <c r="E8" i="45"/>
  <c r="H8" i="45"/>
  <c r="F8" i="45"/>
  <c r="I8" i="45"/>
  <c r="J8" i="45"/>
  <c r="K10" i="45"/>
  <c r="K11" i="45"/>
  <c r="K12" i="45"/>
  <c r="H18" i="1"/>
  <c r="H17" i="4"/>
  <c r="H19" i="7"/>
  <c r="B18" i="11"/>
  <c r="C18" i="11"/>
  <c r="D18" i="11"/>
  <c r="E18" i="11"/>
  <c r="F18" i="11"/>
  <c r="D209" i="6" l="1"/>
  <c r="F71" i="2"/>
  <c r="F109" i="2"/>
  <c r="F90" i="2"/>
  <c r="F128" i="2"/>
  <c r="N18" i="1"/>
  <c r="G22" i="45"/>
  <c r="G23" i="45" l="1"/>
  <c r="G8" i="4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María Antonieta Berdejo Chávez</author>
  </authors>
  <commentList>
    <comment ref="N14" authorId="0" shapeId="0" xr:uid="{00000000-0006-0000-0400-000004000000}">
      <text>
        <r>
          <rPr>
            <b/>
            <sz val="9"/>
            <color indexed="81"/>
            <rFont val="Tahoma"/>
            <family val="2"/>
          </rPr>
          <t>Cotizantes por el devengue diciembre o meses previos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María Antonieta Berdejo Chávez</author>
  </authors>
  <commentList>
    <comment ref="I15" authorId="0" shapeId="0" xr:uid="{00000000-0006-0000-0500-000001000000}">
      <text>
        <r>
          <rPr>
            <sz val="9"/>
            <color indexed="81"/>
            <rFont val="Tahoma"/>
            <family val="2"/>
          </rPr>
          <t xml:space="preserve">Hasta Junio 2010 la PEA corresponde a proyección sobre Censo. De allí en adelante la PEA corresponde a la Encuesta Nacional de Hogares ENAHO
</t>
        </r>
      </text>
    </comment>
    <comment ref="O15" authorId="0" shapeId="0" xr:uid="{00000000-0006-0000-0500-000002000000}">
      <text>
        <r>
          <rPr>
            <b/>
            <sz val="9"/>
            <color indexed="81"/>
            <rFont val="Tahoma"/>
            <family val="2"/>
          </rPr>
          <t xml:space="preserve">Ratio efectuado con dato de PEA al cierre de 2015 (último dato disponible)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María Antonieta Berdejo Chávez</author>
  </authors>
  <commentList>
    <comment ref="I15" authorId="0" shapeId="0" xr:uid="{00000000-0006-0000-0600-000001000000}">
      <text>
        <r>
          <rPr>
            <sz val="8"/>
            <color indexed="81"/>
            <rFont val="Tahoma"/>
            <family val="2"/>
          </rPr>
          <t>Hasta Junio 2010 la PEA corresponde a proyección sobre Censo. De allí en adelante la PEA corresponde a la Encuesta Nacional de Hogares ENAHO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Andrea Soto</author>
  </authors>
  <commentList>
    <comment ref="T10" authorId="0" shapeId="0" xr:uid="{6183E6FF-5FD4-479C-B2F0-71E3831ADCB0}">
      <text>
        <r>
          <rPr>
            <sz val="9"/>
            <color indexed="81"/>
            <rFont val="Tahoma"/>
            <family val="2"/>
          </rPr>
          <t>De ene22 a dic22</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María Antonieta Berdejo Chávez</author>
  </authors>
  <commentList>
    <comment ref="D13" authorId="0" shapeId="0" xr:uid="{00000000-0006-0000-1000-000001000000}">
      <text>
        <r>
          <rPr>
            <sz val="9"/>
            <color indexed="81"/>
            <rFont val="Tahoma"/>
            <family val="2"/>
          </rPr>
          <t>Incluye depósitos</t>
        </r>
      </text>
    </comment>
    <comment ref="D55" authorId="0" shapeId="0" xr:uid="{00000000-0006-0000-1000-000002000000}">
      <text>
        <r>
          <rPr>
            <sz val="9"/>
            <color indexed="81"/>
            <rFont val="Tahoma"/>
            <family val="2"/>
          </rPr>
          <t>Incluye depositos</t>
        </r>
      </text>
    </comment>
    <comment ref="D76" authorId="0" shapeId="0" xr:uid="{00000000-0006-0000-1000-000003000000}">
      <text>
        <r>
          <rPr>
            <sz val="9"/>
            <color indexed="81"/>
            <rFont val="Tahoma"/>
            <family val="2"/>
          </rPr>
          <t>incluye depositos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Andrea</author>
  </authors>
  <commentList>
    <comment ref="Q13" authorId="0" shapeId="0" xr:uid="{00000000-0006-0000-1100-000001000000}">
      <text>
        <r>
          <rPr>
            <sz val="9"/>
            <color indexed="81"/>
            <rFont val="Tahoma"/>
            <family val="2"/>
          </rPr>
          <t xml:space="preserve">Se actualiza al cierre de 
la información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ctavarez</author>
  </authors>
  <commentList>
    <comment ref="S17" authorId="0" shapeId="0" xr:uid="{9133B2E2-6A5F-445F-99B8-CD3C1A482B43}">
      <text>
        <r>
          <rPr>
            <sz val="9"/>
            <color indexed="81"/>
            <rFont val="Tahoma"/>
            <family val="2"/>
          </rPr>
          <t xml:space="preserve">
en Febrero 2020 el poder jecutivo emitio la Ley 13--20 que modifica la Ley 87-01 que crea la seguridad social dominicana, entre estas modificaciones esta el cambio de esquema de comision por rentabilidad+ por adminitracion a una sola comision devengado como % del saldo.</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spmpineda</author>
    <author>MBerdejo</author>
    <author>María Antonieta Berdejo Chávez</author>
    <author>ctavarez</author>
  </authors>
  <commentList>
    <comment ref="BF10" authorId="0" shapeId="0" xr:uid="{00000000-0006-0000-2000-000001000000}">
      <text>
        <r>
          <rPr>
            <sz val="9"/>
            <color indexed="81"/>
            <rFont val="Tahoma"/>
            <family val="2"/>
          </rPr>
          <t>Según reforma a la Ley del Sistema de Ahorro para Pensiones de 2017, sólo el 8% va a la Cuenta de Ahorro Individual</t>
        </r>
      </text>
    </comment>
    <comment ref="BM10" authorId="0" shapeId="0" xr:uid="{00000000-0006-0000-2000-000002000000}">
      <text>
        <r>
          <rPr>
            <sz val="9"/>
            <color indexed="81"/>
            <rFont val="Tahoma"/>
            <family val="2"/>
          </rPr>
          <t>Según reforma a la Ley del Sistema de Ahorro para Pensiones de 2017, sólo el 8% va a la Cuenta de Ahorro Individual</t>
        </r>
      </text>
    </comment>
    <comment ref="C13" authorId="1" shapeId="0" xr:uid="{00000000-0006-0000-2000-000003000000}">
      <text>
        <r>
          <rPr>
            <sz val="9"/>
            <color indexed="81"/>
            <rFont val="Tahoma"/>
            <family val="2"/>
          </rPr>
          <t xml:space="preserve">Promedio ponderado por cotizantes
</t>
        </r>
      </text>
    </comment>
    <comment ref="J13" authorId="1" shapeId="0" xr:uid="{00000000-0006-0000-2000-000004000000}">
      <text>
        <r>
          <rPr>
            <sz val="9"/>
            <color indexed="81"/>
            <rFont val="Tahoma"/>
            <family val="2"/>
          </rPr>
          <t xml:space="preserve">Promedio ponderado por cotizantes
</t>
        </r>
      </text>
    </comment>
    <comment ref="Q13" authorId="1" shapeId="0" xr:uid="{00000000-0006-0000-2000-000005000000}">
      <text>
        <r>
          <rPr>
            <sz val="9"/>
            <color indexed="81"/>
            <rFont val="Tahoma"/>
            <family val="2"/>
          </rPr>
          <t xml:space="preserve">Promedio ponderado por cotizantes
</t>
        </r>
      </text>
    </comment>
    <comment ref="X13" authorId="1" shapeId="0" xr:uid="{00000000-0006-0000-2000-000006000000}">
      <text>
        <r>
          <rPr>
            <sz val="9"/>
            <color indexed="81"/>
            <rFont val="Tahoma"/>
            <family val="2"/>
          </rPr>
          <t xml:space="preserve">Promedio ponderado por cotizantes
</t>
        </r>
      </text>
    </comment>
    <comment ref="AJ13" authorId="2" shapeId="0" xr:uid="{00000000-0006-0000-2000-000007000000}">
      <text>
        <r>
          <rPr>
            <sz val="9"/>
            <color indexed="81"/>
            <rFont val="Tahoma"/>
            <family val="2"/>
          </rPr>
          <t xml:space="preserve">Promedio Ponderado por afiliados
</t>
        </r>
      </text>
    </comment>
    <comment ref="AQ13" authorId="2" shapeId="0" xr:uid="{00000000-0006-0000-2000-000008000000}">
      <text>
        <r>
          <rPr>
            <sz val="9"/>
            <color indexed="81"/>
            <rFont val="Tahoma"/>
            <family val="2"/>
          </rPr>
          <t xml:space="preserve">Promedio Ponderado por afiliados
</t>
        </r>
      </text>
    </comment>
    <comment ref="AJ14" authorId="2" shapeId="0" xr:uid="{00000000-0006-0000-2000-000009000000}">
      <text>
        <r>
          <rPr>
            <sz val="9"/>
            <color indexed="81"/>
            <rFont val="Tahoma"/>
            <family val="2"/>
          </rPr>
          <t xml:space="preserve">Promedio ponderado por afiliados
</t>
        </r>
      </text>
    </comment>
    <comment ref="AQ14" authorId="2" shapeId="0" xr:uid="{00000000-0006-0000-2000-00000A000000}">
      <text>
        <r>
          <rPr>
            <sz val="9"/>
            <color indexed="81"/>
            <rFont val="Tahoma"/>
            <family val="2"/>
          </rPr>
          <t xml:space="preserve">Promedio ponderado por afiliados
</t>
        </r>
      </text>
    </comment>
    <comment ref="AX14" authorId="2" shapeId="0" xr:uid="{00000000-0006-0000-2000-00000B000000}">
      <text>
        <r>
          <rPr>
            <sz val="9"/>
            <color indexed="81"/>
            <rFont val="Tahoma"/>
            <family val="2"/>
          </rPr>
          <t xml:space="preserve">Promedio Ponderado por afiliados
</t>
        </r>
      </text>
    </comment>
    <comment ref="BE14" authorId="2" shapeId="0" xr:uid="{00000000-0006-0000-2000-00000C000000}">
      <text>
        <r>
          <rPr>
            <sz val="9"/>
            <color indexed="81"/>
            <rFont val="Tahoma"/>
            <family val="2"/>
          </rPr>
          <t xml:space="preserve">Promedio Ponderado por afiliados
</t>
        </r>
      </text>
    </comment>
    <comment ref="BL14" authorId="2" shapeId="0" xr:uid="{00000000-0006-0000-2000-00000D000000}">
      <text>
        <r>
          <rPr>
            <sz val="9"/>
            <color indexed="81"/>
            <rFont val="Tahoma"/>
            <family val="2"/>
          </rPr>
          <t xml:space="preserve">Promedio Ponderado por afiliados
</t>
        </r>
      </text>
    </comment>
    <comment ref="BS14" authorId="2" shapeId="0" xr:uid="{00000000-0006-0000-2000-00000E000000}">
      <text>
        <r>
          <rPr>
            <sz val="9"/>
            <color indexed="81"/>
            <rFont val="Tahoma"/>
            <family val="2"/>
          </rPr>
          <t xml:space="preserve">Promedio Ponderado por afiliados
</t>
        </r>
      </text>
    </comment>
    <comment ref="BZ14" authorId="2" shapeId="0" xr:uid="{00000000-0006-0000-2000-00000F000000}">
      <text>
        <r>
          <rPr>
            <sz val="9"/>
            <color indexed="81"/>
            <rFont val="Tahoma"/>
            <family val="2"/>
          </rPr>
          <t xml:space="preserve">Promedio Ponderado por afiliados
</t>
        </r>
      </text>
    </comment>
    <comment ref="CG14" authorId="2" shapeId="0" xr:uid="{41068062-5723-46C1-9B77-CA61C3FA4524}">
      <text>
        <r>
          <rPr>
            <sz val="9"/>
            <color indexed="81"/>
            <rFont val="Tahoma"/>
            <family val="2"/>
          </rPr>
          <t xml:space="preserve">Promedio Ponderado por afiliados
</t>
        </r>
      </text>
    </comment>
    <comment ref="CN14" authorId="2" shapeId="0" xr:uid="{6DA995E6-A5B6-4089-9047-66C7BAA79191}">
      <text>
        <r>
          <rPr>
            <sz val="9"/>
            <color indexed="81"/>
            <rFont val="Tahoma"/>
            <family val="2"/>
          </rPr>
          <t xml:space="preserve">Promedio Ponderado por afiliados
</t>
        </r>
      </text>
    </comment>
    <comment ref="CU14" authorId="2" shapeId="0" xr:uid="{1783CB39-1C4B-420F-83BC-ADAA329BF322}">
      <text>
        <r>
          <rPr>
            <sz val="9"/>
            <color indexed="81"/>
            <rFont val="Tahoma"/>
            <family val="2"/>
          </rPr>
          <t xml:space="preserve">Promedio Ponderado por afiliados
</t>
        </r>
      </text>
    </comment>
    <comment ref="DB14" authorId="2" shapeId="0" xr:uid="{2AB67AA5-986A-48CF-8C9D-A70A0AC14A85}">
      <text>
        <r>
          <rPr>
            <sz val="9"/>
            <color indexed="81"/>
            <rFont val="Tahoma"/>
            <family val="2"/>
          </rPr>
          <t xml:space="preserve">Promedio Ponderado por afiliados
</t>
        </r>
      </text>
    </comment>
    <comment ref="DI14" authorId="2" shapeId="0" xr:uid="{D9EC8AE3-0222-4DFA-BA67-A8B2DB079ABE}">
      <text>
        <r>
          <rPr>
            <sz val="9"/>
            <color indexed="81"/>
            <rFont val="Tahoma"/>
            <family val="2"/>
          </rPr>
          <t xml:space="preserve">Promedio Ponderado por afiliados
</t>
        </r>
      </text>
    </comment>
    <comment ref="AX15" authorId="2" shapeId="0" xr:uid="{00000000-0006-0000-2000-000010000000}">
      <text>
        <r>
          <rPr>
            <sz val="9"/>
            <color indexed="81"/>
            <rFont val="Tahoma"/>
            <family val="2"/>
          </rPr>
          <t xml:space="preserve">Promedio ponderado por afiliados
</t>
        </r>
      </text>
    </comment>
    <comment ref="BE15" authorId="2" shapeId="0" xr:uid="{00000000-0006-0000-2000-000011000000}">
      <text>
        <r>
          <rPr>
            <sz val="9"/>
            <color indexed="81"/>
            <rFont val="Tahoma"/>
            <family val="2"/>
          </rPr>
          <t xml:space="preserve">Promedio ponderado por afiliados
</t>
        </r>
      </text>
    </comment>
    <comment ref="BL15" authorId="2" shapeId="0" xr:uid="{00000000-0006-0000-2000-000012000000}">
      <text>
        <r>
          <rPr>
            <sz val="9"/>
            <color indexed="81"/>
            <rFont val="Tahoma"/>
            <family val="2"/>
          </rPr>
          <t xml:space="preserve">Promedio ponderado por afiliados
</t>
        </r>
      </text>
    </comment>
    <comment ref="BS15" authorId="2" shapeId="0" xr:uid="{00000000-0006-0000-2000-000013000000}">
      <text>
        <r>
          <rPr>
            <sz val="9"/>
            <color indexed="81"/>
            <rFont val="Tahoma"/>
            <family val="2"/>
          </rPr>
          <t xml:space="preserve">Promedio ponderado por afiliados
</t>
        </r>
      </text>
    </comment>
    <comment ref="BZ15" authorId="2" shapeId="0" xr:uid="{00000000-0006-0000-2000-000014000000}">
      <text>
        <r>
          <rPr>
            <sz val="9"/>
            <color indexed="81"/>
            <rFont val="Tahoma"/>
            <family val="2"/>
          </rPr>
          <t xml:space="preserve">Promedio ponderado por afiliados
</t>
        </r>
      </text>
    </comment>
    <comment ref="CG15" authorId="2" shapeId="0" xr:uid="{9BB4CB5B-3901-4D0A-89DF-8A4EF69EBCFC}">
      <text>
        <r>
          <rPr>
            <sz val="9"/>
            <color indexed="81"/>
            <rFont val="Tahoma"/>
            <family val="2"/>
          </rPr>
          <t xml:space="preserve">Promedio ponderado por afiliados
</t>
        </r>
      </text>
    </comment>
    <comment ref="CN15" authorId="2" shapeId="0" xr:uid="{07027790-C3DC-414A-94A7-3F400C21EF14}">
      <text>
        <r>
          <rPr>
            <sz val="9"/>
            <color indexed="81"/>
            <rFont val="Tahoma"/>
            <family val="2"/>
          </rPr>
          <t xml:space="preserve">Promedio ponderado por afiliados
</t>
        </r>
      </text>
    </comment>
    <comment ref="CU15" authorId="2" shapeId="0" xr:uid="{7B2DD4AD-0C15-4DA4-833B-A39B9C349F06}">
      <text>
        <r>
          <rPr>
            <sz val="9"/>
            <color indexed="81"/>
            <rFont val="Tahoma"/>
            <family val="2"/>
          </rPr>
          <t xml:space="preserve">Promedio ponderado por afiliados
</t>
        </r>
      </text>
    </comment>
    <comment ref="DB15" authorId="2" shapeId="0" xr:uid="{9B6BFD07-0E57-4C4A-B442-A272D529B23C}">
      <text>
        <r>
          <rPr>
            <sz val="9"/>
            <color indexed="81"/>
            <rFont val="Tahoma"/>
            <family val="2"/>
          </rPr>
          <t xml:space="preserve">Promedio ponderado por afiliados
</t>
        </r>
      </text>
    </comment>
    <comment ref="DI15" authorId="2" shapeId="0" xr:uid="{7DA8B1BB-8ADF-4656-A9DB-0601C7131523}">
      <text>
        <r>
          <rPr>
            <sz val="9"/>
            <color indexed="81"/>
            <rFont val="Tahoma"/>
            <family val="2"/>
          </rPr>
          <t xml:space="preserve">Promedio ponderado por afiliados
</t>
        </r>
      </text>
    </comment>
    <comment ref="CC16" authorId="3" shapeId="0" xr:uid="{D5908BAE-7BE7-4568-9BD4-6416D1BEE75E}">
      <text>
        <r>
          <rPr>
            <b/>
            <sz val="9"/>
            <color indexed="81"/>
            <rFont val="Tahoma"/>
            <family val="2"/>
          </rPr>
          <t>ctavarez:</t>
        </r>
        <r>
          <rPr>
            <sz val="9"/>
            <color indexed="81"/>
            <rFont val="Tahoma"/>
            <family val="2"/>
          </rPr>
          <t xml:space="preserve">
en Febrero 2020 el poder jecutivo emitio la Ley 13--20 que modifica la Ley 87-01 que crea la seguridad social dominicana, entre estas modificaciones esta el cambio de esquema de comision por rentabilidad+ por adminitracion a una sola comision devengado como % del saldo.</t>
        </r>
      </text>
    </comment>
    <comment ref="B33" authorId="1" shapeId="0" xr:uid="{00000000-0006-0000-2000-000015000000}">
      <text>
        <r>
          <rPr>
            <sz val="9"/>
            <color indexed="81"/>
            <rFont val="Tahoma"/>
            <family val="2"/>
          </rPr>
          <t xml:space="preserve">Promedio ponderado por cotizantes
</t>
        </r>
      </text>
    </comment>
    <comment ref="I33" authorId="1" shapeId="0" xr:uid="{00000000-0006-0000-2000-000016000000}">
      <text>
        <r>
          <rPr>
            <sz val="9"/>
            <color indexed="81"/>
            <rFont val="Tahoma"/>
            <family val="2"/>
          </rPr>
          <t xml:space="preserve">Promedio ponderado por cotizantes
</t>
        </r>
      </text>
    </comment>
    <comment ref="P33" authorId="1" shapeId="0" xr:uid="{00000000-0006-0000-2000-000017000000}">
      <text>
        <r>
          <rPr>
            <sz val="9"/>
            <color indexed="81"/>
            <rFont val="Tahoma"/>
            <family val="2"/>
          </rPr>
          <t xml:space="preserve">Promedio ponderado por cotizantes
</t>
        </r>
      </text>
    </comment>
    <comment ref="W33" authorId="1" shapeId="0" xr:uid="{00000000-0006-0000-2000-000018000000}">
      <text>
        <r>
          <rPr>
            <sz val="9"/>
            <color indexed="81"/>
            <rFont val="Tahoma"/>
            <family val="2"/>
          </rPr>
          <t xml:space="preserve">Promedio ponderado por cotizantes
</t>
        </r>
      </text>
    </comment>
    <comment ref="AD33" authorId="1" shapeId="0" xr:uid="{00000000-0006-0000-2000-000019000000}">
      <text>
        <r>
          <rPr>
            <sz val="9"/>
            <color indexed="81"/>
            <rFont val="Tahoma"/>
            <family val="2"/>
          </rPr>
          <t xml:space="preserve">Promedio ponderado por afiliados
</t>
        </r>
      </text>
    </comment>
    <comment ref="AK33" authorId="1" shapeId="0" xr:uid="{00000000-0006-0000-2000-00001A000000}">
      <text>
        <r>
          <rPr>
            <sz val="9"/>
            <color indexed="81"/>
            <rFont val="Tahoma"/>
            <family val="2"/>
          </rPr>
          <t xml:space="preserve">Promedio ponderado por cotizantes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María Antonieta Berdejo Chávez</author>
  </authors>
  <commentList>
    <comment ref="A83" authorId="0" shapeId="0" xr:uid="{00000000-0006-0000-2100-000001000000}">
      <text>
        <r>
          <rPr>
            <b/>
            <sz val="9"/>
            <color indexed="81"/>
            <rFont val="Tahoma"/>
            <family val="2"/>
          </rPr>
          <t>Rentabilidad del Fondo 2 - Fondo intermedio</t>
        </r>
      </text>
    </comment>
    <comment ref="A101" authorId="0" shapeId="0" xr:uid="{00000000-0006-0000-2100-000002000000}">
      <text>
        <r>
          <rPr>
            <b/>
            <sz val="9"/>
            <color indexed="81"/>
            <rFont val="Tahoma"/>
            <family val="2"/>
          </rPr>
          <t>Rentabilidad del Fondo 2 - Fondo intermedio</t>
        </r>
      </text>
    </comment>
  </commentList>
</comments>
</file>

<file path=xl/sharedStrings.xml><?xml version="1.0" encoding="utf-8"?>
<sst xmlns="http://schemas.openxmlformats.org/spreadsheetml/2006/main" count="7576" uniqueCount="541">
  <si>
    <t>País</t>
  </si>
  <si>
    <t>Afiliados</t>
  </si>
  <si>
    <t>Argentina</t>
  </si>
  <si>
    <t>Bolivia</t>
  </si>
  <si>
    <t>Chile</t>
  </si>
  <si>
    <t>Colombia</t>
  </si>
  <si>
    <t>El Salvador</t>
  </si>
  <si>
    <t>México</t>
  </si>
  <si>
    <t>Perú</t>
  </si>
  <si>
    <t>Uruguay</t>
  </si>
  <si>
    <t>Total</t>
  </si>
  <si>
    <t>&lt; 30</t>
  </si>
  <si>
    <t>30-44</t>
  </si>
  <si>
    <t>45-59</t>
  </si>
  <si>
    <t>&gt; 60</t>
  </si>
  <si>
    <t>Sin ident.</t>
  </si>
  <si>
    <t>Aportantes</t>
  </si>
  <si>
    <t>Beneficiarios</t>
  </si>
  <si>
    <t xml:space="preserve">      Invalidez</t>
  </si>
  <si>
    <t xml:space="preserve">       Vejez</t>
  </si>
  <si>
    <t xml:space="preserve">       Muerte</t>
  </si>
  <si>
    <t>Otros</t>
  </si>
  <si>
    <t xml:space="preserve">Administración de los fondos de pensiones </t>
  </si>
  <si>
    <t>Número de administradoras</t>
  </si>
  <si>
    <t>Porcentaje en las dos mayores</t>
  </si>
  <si>
    <t>Activo</t>
  </si>
  <si>
    <t>Pasivo</t>
  </si>
  <si>
    <t>Patrimonio Neto</t>
  </si>
  <si>
    <t xml:space="preserve">Ingresos por Comisiones </t>
  </si>
  <si>
    <t>Gastos Operativos</t>
  </si>
  <si>
    <t xml:space="preserve">Resultado Operativo </t>
  </si>
  <si>
    <t xml:space="preserve">Resultado       Neto </t>
  </si>
  <si>
    <t>(en U$S)</t>
  </si>
  <si>
    <t>Resultado de las Administradoras</t>
  </si>
  <si>
    <t>no disponible</t>
  </si>
  <si>
    <t>Promedio</t>
  </si>
  <si>
    <t>Traspasos anuales</t>
  </si>
  <si>
    <t>Inversiones de los fondos en moneda extranjera</t>
  </si>
  <si>
    <t>Fondos administrados en relación al PIB</t>
  </si>
  <si>
    <t>Patrimonio de las Administradoras por afiliado</t>
  </si>
  <si>
    <t>Prestación</t>
  </si>
  <si>
    <t>Absoluto</t>
  </si>
  <si>
    <t>Porcentual</t>
  </si>
  <si>
    <t>Comercialización</t>
  </si>
  <si>
    <t>TOTAL</t>
  </si>
  <si>
    <t>Fuente: Cuadros 1 y 4.</t>
  </si>
  <si>
    <t xml:space="preserve">  </t>
  </si>
  <si>
    <t>Com.Vend.</t>
  </si>
  <si>
    <t>Promoción</t>
  </si>
  <si>
    <t>(en millones de dólares)</t>
  </si>
  <si>
    <t>Costa Rica</t>
  </si>
  <si>
    <t>Gastos operativos de las administradoras</t>
  </si>
  <si>
    <t>Cantidad</t>
  </si>
  <si>
    <t>Fuente: Cuadros 1 y 12.</t>
  </si>
  <si>
    <t>Fuente: Cuadros 20 y 21.</t>
  </si>
  <si>
    <t>Fuente: Cuadros 1 y 21.</t>
  </si>
  <si>
    <t>Fuente: Cuadros 14 y 20.</t>
  </si>
  <si>
    <t>Fuente: Cuadros 1 y 20.</t>
  </si>
  <si>
    <t>Nota: gastos y recaudación netos del seguro de invalidez y fallecimiento.</t>
  </si>
  <si>
    <t>Resultados anuales de las administradoras</t>
  </si>
  <si>
    <t xml:space="preserve"> * : La desagregación de gastos no está disponible.</t>
  </si>
  <si>
    <t>Fecha</t>
  </si>
  <si>
    <t>Número de columna</t>
  </si>
  <si>
    <t>Mes Año</t>
  </si>
  <si>
    <t>DD/MM/AA</t>
  </si>
  <si>
    <t>Año AAAA</t>
  </si>
  <si>
    <t>Últimos doce meses (1)</t>
  </si>
  <si>
    <t>Últimos doce meses (2)</t>
  </si>
  <si>
    <t>Al DD/MM/AA</t>
  </si>
  <si>
    <t>MM'AA</t>
  </si>
  <si>
    <t>REEMPLAZAR EN AMARILLO</t>
  </si>
  <si>
    <t>Relaciones anuales (en %)</t>
  </si>
  <si>
    <t>Utilidad anual / Ingresos por comisión (en %)</t>
  </si>
  <si>
    <t>Gastos operativos / Recaudación</t>
  </si>
  <si>
    <t>Año 2003</t>
  </si>
  <si>
    <t xml:space="preserve">     después  de un año de permanencia y 12 aportes mensuales.</t>
  </si>
  <si>
    <t># : Corresponde al derecho de los afiliados a cambiar de operadora</t>
  </si>
  <si>
    <t>Notas:</t>
  </si>
  <si>
    <t>Los ingresos y los gastos son netos del seguro de invalidez y fallecimiento.</t>
  </si>
  <si>
    <t>Año 2004</t>
  </si>
  <si>
    <t>Julio 2003 - Junio 2004</t>
  </si>
  <si>
    <t>Jul'03 - Jun'04</t>
  </si>
  <si>
    <t>R. Dominicana</t>
  </si>
  <si>
    <t>*</t>
  </si>
  <si>
    <t>* : El derecho de traspaso inició en junio de 2004.</t>
  </si>
  <si>
    <t>(en %)</t>
  </si>
  <si>
    <t>Gastos operativos anuales por afiliado</t>
  </si>
  <si>
    <t>(en % del fondo total)</t>
  </si>
  <si>
    <t>Participación de los fondos en la deuda gubernamental</t>
  </si>
  <si>
    <t xml:space="preserve"> 31/12/04</t>
  </si>
  <si>
    <t xml:space="preserve"> 31/12/03</t>
  </si>
  <si>
    <t>al 31 de diciembre de 2003</t>
  </si>
  <si>
    <t>al 31 de diciembre de 2004</t>
  </si>
  <si>
    <t>Dic '04</t>
  </si>
  <si>
    <t>Dic '03</t>
  </si>
  <si>
    <t>Patrimonio de las Administradoras / Fondos</t>
  </si>
  <si>
    <t>Junio 2004</t>
  </si>
  <si>
    <t>Junio de 2004</t>
  </si>
  <si>
    <t xml:space="preserve"> 30/06/05</t>
  </si>
  <si>
    <t>Junio de 2005</t>
  </si>
  <si>
    <t>Junio 2005</t>
  </si>
  <si>
    <t>Julio 2004 - Junio 2005</t>
  </si>
  <si>
    <t>Jul'04 - Jun'05</t>
  </si>
  <si>
    <t>al 30 de junio de 2004</t>
  </si>
  <si>
    <t>al 30 de junio de 2005</t>
  </si>
  <si>
    <t>Jun '04</t>
  </si>
  <si>
    <t>Jun '05</t>
  </si>
  <si>
    <t xml:space="preserve"> 30/06/04</t>
  </si>
  <si>
    <t>#: Los ingresos y la recaudación son netos del seguro de invalidez y fallecimiento.</t>
  </si>
  <si>
    <t>Junio de 2003</t>
  </si>
  <si>
    <t>Jul'02 - Jun'03</t>
  </si>
  <si>
    <t>al 30 de junio de 2003</t>
  </si>
  <si>
    <t>Jun '03</t>
  </si>
  <si>
    <t>Julio 2002 - Junio 2003</t>
  </si>
  <si>
    <t xml:space="preserve"> 30/06/03</t>
  </si>
  <si>
    <t>Junio 2003</t>
  </si>
  <si>
    <t>Proporción de afiliados de sexo femenino (en %)</t>
  </si>
  <si>
    <t xml:space="preserve"> 31/12/02</t>
  </si>
  <si>
    <t>Diciembre de 2004</t>
  </si>
  <si>
    <t>Diciembre 2004</t>
  </si>
  <si>
    <t>Diciembre de 2003</t>
  </si>
  <si>
    <t>Diciembre 2003</t>
  </si>
  <si>
    <t>Diciembre de 2002</t>
  </si>
  <si>
    <t>Diciembre 2002</t>
  </si>
  <si>
    <t>Diciembre 2005</t>
  </si>
  <si>
    <t>Año 2005</t>
  </si>
  <si>
    <t>al 31 de diciembre de 2005</t>
  </si>
  <si>
    <t>Dic '05</t>
  </si>
  <si>
    <t>Diciembre de 2005</t>
  </si>
  <si>
    <t xml:space="preserve"> 31/12/05</t>
  </si>
  <si>
    <t>Cada mil afiliados</t>
  </si>
  <si>
    <t>Bolivia  ¬</t>
  </si>
  <si>
    <t>Junio de 2006</t>
  </si>
  <si>
    <t>Junio 2006</t>
  </si>
  <si>
    <t xml:space="preserve"> 30/06/06</t>
  </si>
  <si>
    <t>al 30 de junio de 2006</t>
  </si>
  <si>
    <t>Jun '06</t>
  </si>
  <si>
    <t>Julio 2005 - Junio 2006</t>
  </si>
  <si>
    <t>Jul'05 - Jun'06</t>
  </si>
  <si>
    <t>Proporción de afiliados que efectivamente aportan (en %)</t>
  </si>
  <si>
    <t>Diciembre de 2006</t>
  </si>
  <si>
    <t>Diciembre 2006</t>
  </si>
  <si>
    <t xml:space="preserve"> 31/12/06</t>
  </si>
  <si>
    <t>Año 2006</t>
  </si>
  <si>
    <t>al 31 de diciembre de 2006</t>
  </si>
  <si>
    <t>Dic '06</t>
  </si>
  <si>
    <t>Año 2002</t>
  </si>
  <si>
    <t>al 31 de diciembre de 2002</t>
  </si>
  <si>
    <t>Dic '02</t>
  </si>
  <si>
    <t>n/d</t>
  </si>
  <si>
    <t>Fallecimiento anual de afiliados</t>
  </si>
  <si>
    <t>Julio 2006 - Junio 2007</t>
  </si>
  <si>
    <t>Jul'06 - Jun'07</t>
  </si>
  <si>
    <t>al 30 de junio de 2007</t>
  </si>
  <si>
    <t>Jun '07</t>
  </si>
  <si>
    <t xml:space="preserve"> 30/06/07</t>
  </si>
  <si>
    <t>Junio de 2007</t>
  </si>
  <si>
    <t>Junio 2007</t>
  </si>
  <si>
    <t>* : El ingreso anual por comisión corresponde únicamente al Régimen Obligatorio de Pensiones.</t>
  </si>
  <si>
    <t>Diciembre de 2007</t>
  </si>
  <si>
    <t>Diciembre 2007</t>
  </si>
  <si>
    <t xml:space="preserve"> 31/12/07</t>
  </si>
  <si>
    <t>Año 2007</t>
  </si>
  <si>
    <t>al 31 de diciembre de 2007</t>
  </si>
  <si>
    <t>Dic '07</t>
  </si>
  <si>
    <t>Fuente: Cuadros 4 y 21 y Boletín AIOS N° 6.</t>
  </si>
  <si>
    <t>Alcance de los regímenes: Afiliados / PEA  (en %)</t>
  </si>
  <si>
    <t>Alcance de los regímenes: Aportantes / PEA  (en %)</t>
  </si>
  <si>
    <t>Traspasos / Afiliados (en %)</t>
  </si>
  <si>
    <t>Junio de 2008</t>
  </si>
  <si>
    <t>Junio 2008</t>
  </si>
  <si>
    <t xml:space="preserve"> 30/06/08</t>
  </si>
  <si>
    <t>al 30 de junio de 2008</t>
  </si>
  <si>
    <t>Jul'07 - Jun'08</t>
  </si>
  <si>
    <t>Jun '08</t>
  </si>
  <si>
    <t>Julio 2007 - Junio 2008</t>
  </si>
  <si>
    <t>Diciembre de 2008</t>
  </si>
  <si>
    <t>Diciembre 2008</t>
  </si>
  <si>
    <t xml:space="preserve"> 31/12/08</t>
  </si>
  <si>
    <t>Año 2008</t>
  </si>
  <si>
    <t>al 31 de diciembre de 2008</t>
  </si>
  <si>
    <t>Dic '08</t>
  </si>
  <si>
    <t>N.A.</t>
  </si>
  <si>
    <t>N / D</t>
  </si>
  <si>
    <t>Panamá</t>
  </si>
  <si>
    <t>(en miles)</t>
  </si>
  <si>
    <t>Diciembre 2009</t>
  </si>
  <si>
    <t>Afiliados al  31/12/10. Distribución porcentual por edad</t>
  </si>
  <si>
    <t>Diciembre 2010</t>
  </si>
  <si>
    <t>Beneficiarios por tipo de prestación, al 31/12/10</t>
  </si>
  <si>
    <t>Altas de Beneficiarios por tipo de prestación. Año 2010</t>
  </si>
  <si>
    <t>Balances de las administradoras al 31/12/10</t>
  </si>
  <si>
    <t>n.d.</t>
  </si>
  <si>
    <t>En Costa Rica, el ingreso por comisiones del régimen obligatorio fue de US$ $31.9 millones.</t>
  </si>
  <si>
    <t>Costa Rica*</t>
  </si>
  <si>
    <t>Afiliados al  31/12/11. Distribución porcentual por edad</t>
  </si>
  <si>
    <t>Afiliados al  31/12/12. Distribución porcentual por edad</t>
  </si>
  <si>
    <t>Afiliados al  31/12/13. Distribución porcentual por edad</t>
  </si>
  <si>
    <t>Afiliados al  31/12/14. Distribución porcentual por edad</t>
  </si>
  <si>
    <t>Diciembre 2011</t>
  </si>
  <si>
    <t>Diciembre 2012</t>
  </si>
  <si>
    <t>Diciembre 2013</t>
  </si>
  <si>
    <t>Diciembre 2014</t>
  </si>
  <si>
    <t>Beneficiarios por tipo de prestación, al 31/12/11</t>
  </si>
  <si>
    <t>Beneficiarios por tipo de prestación, al 31/12/12</t>
  </si>
  <si>
    <t>Beneficiarios por tipo de prestación, al 31/12/13</t>
  </si>
  <si>
    <t>Beneficiarios por tipo de prestación, al 31/12/14</t>
  </si>
  <si>
    <t>Altas de Beneficiarios por tipo de prestación. Año 2011</t>
  </si>
  <si>
    <t>Altas de Beneficiarios por tipo de prestación. Año 2012</t>
  </si>
  <si>
    <t>Altas de Beneficiarios por tipo de prestación. Año 2013</t>
  </si>
  <si>
    <t>Altas de Beneficiarios por tipo de prestación. Año 2014</t>
  </si>
  <si>
    <t>Total (millones de US$)</t>
  </si>
  <si>
    <t>Inversiones Locales</t>
  </si>
  <si>
    <t>Inversiones en el Exterior</t>
  </si>
  <si>
    <t>Deuda Gubernamental (1)</t>
  </si>
  <si>
    <t>Deuda de Instituciones Financieras</t>
  </si>
  <si>
    <t>Deuda de Instituciones no Financieras</t>
  </si>
  <si>
    <t>Acciones (2)</t>
  </si>
  <si>
    <t>Administradores de Fondos (3)</t>
  </si>
  <si>
    <t>Sociedades Titulizadoras</t>
  </si>
  <si>
    <t xml:space="preserve">Bolivia </t>
  </si>
  <si>
    <t xml:space="preserve">Chile </t>
  </si>
  <si>
    <t xml:space="preserve">Colombia </t>
  </si>
  <si>
    <t xml:space="preserve">Costa Rica </t>
  </si>
  <si>
    <t xml:space="preserve">México </t>
  </si>
  <si>
    <t xml:space="preserve">R. Dominicana </t>
  </si>
  <si>
    <t>(1) Incluye deuda del Gobierno y del Banco Central de Reserva.</t>
  </si>
  <si>
    <t>(2) Incluye acciones, valores representativos sobre acciones, acciones preferentes de los Sistemas Financiero y no Financiero.</t>
  </si>
  <si>
    <t>(3) Incluye Fondos Mutuos, Fondos de Inversión, Fondos Alternativos y Hedges Funds</t>
  </si>
  <si>
    <t>Balances de las administradoras al 31/12/11</t>
  </si>
  <si>
    <t>Balances de las administradoras al 31/12/12</t>
  </si>
  <si>
    <t>Balances de las administradoras al 31/12/13</t>
  </si>
  <si>
    <t>Balances de las administradoras al 31/12/14</t>
  </si>
  <si>
    <t>Administración</t>
  </si>
  <si>
    <t>Año 2013 (millones US$)</t>
  </si>
  <si>
    <t>Año 2014 (millones US$)</t>
  </si>
  <si>
    <t>Rentabilidad Anualizada (%)</t>
  </si>
  <si>
    <t xml:space="preserve">Últimos 10 años </t>
  </si>
  <si>
    <t xml:space="preserve">Últimos 5 años </t>
  </si>
  <si>
    <t>Ultimos 3 años</t>
  </si>
  <si>
    <t>Últimos 12 meses</t>
  </si>
  <si>
    <t xml:space="preserve">Nominal </t>
  </si>
  <si>
    <t xml:space="preserve">Real </t>
  </si>
  <si>
    <t>Chile #</t>
  </si>
  <si>
    <t>(porcentaje respecto del total del fondo)</t>
  </si>
  <si>
    <t xml:space="preserve">Cuadro 32A: Comisiones en los regímenes de capitalización </t>
  </si>
  <si>
    <t>Cuadro 32A: Comisiones en los regímenes de capitalización</t>
  </si>
  <si>
    <t>Tasa de Aporte Obligatorio</t>
  </si>
  <si>
    <t>Comisión sobre el Salario</t>
  </si>
  <si>
    <t>Comisión sobre el Saldo Administrado</t>
  </si>
  <si>
    <t>Comisión sobre la Rentabilidad</t>
  </si>
  <si>
    <t>Comisión Fija</t>
  </si>
  <si>
    <t>% de la remuneración</t>
  </si>
  <si>
    <t>% del Saldo CIC individual</t>
  </si>
  <si>
    <t>% sobre la rentabilidad</t>
  </si>
  <si>
    <t>US$</t>
  </si>
  <si>
    <t xml:space="preserve">(1) En el caso de Chile, hasta junio del 2009 se incluye el costo del Seguro de invalidez y Sobrevivencia. </t>
  </si>
  <si>
    <t>(2) La comisión sobre saldo es el promedio ponderado de los activos netos de las afores.</t>
  </si>
  <si>
    <t>(3) La comisión de Uruguay sobre saldo refiere a la comisión de custodia.</t>
  </si>
  <si>
    <t>Cuadro 32B: Comisiones por la gestión del Seguro de Invalidez y Fallecimiento</t>
  </si>
  <si>
    <t>Porcentaje pagado por el trabajador</t>
  </si>
  <si>
    <t>Porcentaje pagado por el empleador</t>
  </si>
  <si>
    <t>Porcentaje pagado por el Estado</t>
  </si>
  <si>
    <t xml:space="preserve">#: desde julio de 2009 entra en vigencia licitación del Seguro de Invalidez y Sobrevivencia, separando su costo de la comisión por administración de fondos. </t>
  </si>
  <si>
    <t>#: desde julio de 2010 la prima del Seguro de invalidez y Sobrevivencia es financiada en su totalidad por el empleador.</t>
  </si>
  <si>
    <t>#: desde julio de 2012 a junio 2014 la prima del Seguro de invalidez y Sobrevivencia será de 1,27%.</t>
  </si>
  <si>
    <t>Cuadro 32C: Ingresos por la gestión de Aportes Obligatorios y Fondos Obligatorios Administrados</t>
  </si>
  <si>
    <t>(a)</t>
  </si>
  <si>
    <t>(b)</t>
  </si>
  <si>
    <t>Ingresos por comisiones de Aportes Obligatorios</t>
  </si>
  <si>
    <t>Fondo de Aportes Oblilgatorios (1)</t>
  </si>
  <si>
    <t>(a)/ (b)</t>
  </si>
  <si>
    <t>Antigüedad del Sistema</t>
  </si>
  <si>
    <t>(Acumulado últimos 12 meses en millones de US$)</t>
  </si>
  <si>
    <t>(En millones de US$ al mes de referencia)</t>
  </si>
  <si>
    <t>%</t>
  </si>
  <si>
    <t>(años cumplidos)</t>
  </si>
  <si>
    <t>Colombia  &amp;</t>
  </si>
  <si>
    <t>(1) Promedio del periodo</t>
  </si>
  <si>
    <t>&amp; Los ingresos por comisiones solo se refieren a los fondos de pensiones obligatorias</t>
  </si>
  <si>
    <t>(2) Los ingresos por comisiones solo se refieren a los fondos de pensiones obligatorias</t>
  </si>
  <si>
    <t xml:space="preserve">(3) En México, desde octubre de 2012, la contabilidad de las AFOREs se apega </t>
  </si>
  <si>
    <t>a las Normas de Información Financiera (NIF's).</t>
  </si>
  <si>
    <t>1. Considera los activos netos de las Siefores Básicas y Adicionales</t>
  </si>
  <si>
    <t>Composición de los fondos administrados. Diciembre 2011</t>
  </si>
  <si>
    <t>Composición de los fondos administrados. Diciembre 2012</t>
  </si>
  <si>
    <t>Composición de los fondos administrados. Diciembre 2013</t>
  </si>
  <si>
    <t>Composición de los fondos administrados. Diciembre 2014</t>
  </si>
  <si>
    <t>a/ En México, desde octubre de 2012, la contabilidad de las AFOREs se apega a las Normas de Información Financiera (NIF's).</t>
  </si>
  <si>
    <t>b/ En México, los Ingresos por Comisiones corresponde a las Siefores Básicas.</t>
  </si>
  <si>
    <t>c/ En México, Resultado Operativo = Ingresos por Comisiones de las Siefores Básicas - (Gastos de Comercialización + Otros Gastos)</t>
  </si>
  <si>
    <t>b/ En México, los Gastos de Comercialización incluyen comisiones a vendedores, promoción (publicidad), capacitación a vendedores y otros gastos inherentes a la venta.</t>
  </si>
  <si>
    <t>c/ En México, Otros Gastos Operativos incluyen gastos regulatorios, gastos de personal operativo y de servicios y gastos por inversión y administración de riesgos.</t>
  </si>
  <si>
    <t>d/ En México, los Gastos de Administración no se consideran dentro de los Gastos Operativos.</t>
  </si>
  <si>
    <t>N/A</t>
  </si>
  <si>
    <t>Rentabilidad bruta de los fondos de pensiones. Diciembre 2011</t>
  </si>
  <si>
    <t>Rentabilidad bruta de los fondos de pensiones. Diciembre 2012</t>
  </si>
  <si>
    <t>Rentabilidad bruta de los fondos de pensiones. Diciembre 2013</t>
  </si>
  <si>
    <t>Rentabilidad bruta de los fondos de pensiones. Diciembre 2014</t>
  </si>
  <si>
    <t>Cuadro 1</t>
  </si>
  <si>
    <t>Cuadro 2</t>
  </si>
  <si>
    <t>Cuadro 3</t>
  </si>
  <si>
    <t>Cuadro 4</t>
  </si>
  <si>
    <t>Cuadro 10</t>
  </si>
  <si>
    <t>Cuadro 9</t>
  </si>
  <si>
    <t>Cuadro 8</t>
  </si>
  <si>
    <t>Cuadro 7</t>
  </si>
  <si>
    <t>Cuadro 6</t>
  </si>
  <si>
    <t>Cuadro 5</t>
  </si>
  <si>
    <t>Cuadro 11</t>
  </si>
  <si>
    <t>Cuadro 12</t>
  </si>
  <si>
    <t>Cuadro 13</t>
  </si>
  <si>
    <t>Cuadro 14</t>
  </si>
  <si>
    <t>Cuadro 15</t>
  </si>
  <si>
    <t>Cuadro 16</t>
  </si>
  <si>
    <t>Cuadro 17.</t>
  </si>
  <si>
    <t>Cuadro 18</t>
  </si>
  <si>
    <t>Nota: Se trata de la relación entre las inversiones de los fondos en deuda  gubernamental y la deuda gubernamental total.</t>
  </si>
  <si>
    <t>Cuadro 19</t>
  </si>
  <si>
    <t>Cuadro 20</t>
  </si>
  <si>
    <t>Cuadro 21</t>
  </si>
  <si>
    <t>Cuadro 22</t>
  </si>
  <si>
    <t>Cuadro 23</t>
  </si>
  <si>
    <t>Cuadro 24</t>
  </si>
  <si>
    <t>Cuadro 25</t>
  </si>
  <si>
    <t>Cuadro 26</t>
  </si>
  <si>
    <t>Fuente: Cuadro 21</t>
  </si>
  <si>
    <t>Cuadro 28</t>
  </si>
  <si>
    <t>Cuadro 29</t>
  </si>
  <si>
    <t>Cuadro 30</t>
  </si>
  <si>
    <t>Cuadro 31</t>
  </si>
  <si>
    <t>Cuadro 33</t>
  </si>
  <si>
    <t>Cuadro 32. Diciembre 2009</t>
  </si>
  <si>
    <t>Cuadro 32. Diciembre 2010</t>
  </si>
  <si>
    <t>Cuadro 32. Diciembre 2011</t>
  </si>
  <si>
    <t>Cuadro 32. Diciembre 2012</t>
  </si>
  <si>
    <t>Cuadro 32. Diciembre 2013</t>
  </si>
  <si>
    <t>Cuadro 32. Diciembre 2014</t>
  </si>
  <si>
    <t>(1) El Salvador: a partir de 2014 se incluyen en las estadísticas pensionados con fondos del Fideicomiso de Obligaciones Previsionales (FOP)</t>
  </si>
  <si>
    <t xml:space="preserve">1) El Salvador: Las altas de pensionados no incluyen los pensionados a cargo del Fideicomiso de Obligaciones </t>
  </si>
  <si>
    <t>Previsionales (FOP), para ser consistentes con las series históricas.</t>
  </si>
  <si>
    <t xml:space="preserve">A partir del año 2014 se comenzaron a considerar dentro de las estadísticas a los pensionados a cargo del FOP, </t>
  </si>
  <si>
    <t>por lo que para futuros cuadros estadísticos, las altas corresponderán al total.</t>
  </si>
  <si>
    <t>de entidades no financieras dentro de las inversiones locales.</t>
  </si>
  <si>
    <t xml:space="preserve">(4) Datos de las carteras de inversión. La regulación no permite que las AFP  pueden invertir en el exterior, únicamente pueden adquirir valores de emisores extranjeros registrados y transados en la bolsa de valores local; por lo tanto, las inversiones en valores extranjeros están sumadas en las inversiones </t>
  </si>
  <si>
    <t>(1) El Salvador: cifras revisadas según dato oficial de Deuda Pública publicado en el sitio web del Banco Central de Reserva (BCR) de El Salvador (período 2003-2014).</t>
  </si>
  <si>
    <t>0.57</t>
  </si>
  <si>
    <t>0.59</t>
  </si>
  <si>
    <t>0.41</t>
  </si>
  <si>
    <t>Perú - Comision por Flujo</t>
  </si>
  <si>
    <t>Perú - Comision Mixta</t>
  </si>
  <si>
    <t>1: Los ingresos por comisiones son netos del seguro de invalidez y fallecimiento. Se considera el promedio anual de aportantes.</t>
  </si>
  <si>
    <t>Cuadro 27</t>
  </si>
  <si>
    <t>Afiliados al  31/12/15. Distribución porcentual por edad</t>
  </si>
  <si>
    <t>Diciembre 2015</t>
  </si>
  <si>
    <t>Beneficiarios por tipo de prestación, al 31/12/15</t>
  </si>
  <si>
    <t>Altas de Beneficiarios por tipo de prestación. Año 2015</t>
  </si>
  <si>
    <t>Composición de los fondos administrados. Diciembre 2015</t>
  </si>
  <si>
    <t>Balances de las administradoras al 31/12/15</t>
  </si>
  <si>
    <t>Año 2015 (millones US$)</t>
  </si>
  <si>
    <t>Cuadro 32. Diciembre 2015</t>
  </si>
  <si>
    <t>Rentabilidad bruta de los fondos de pensiones. Diciembre 2015</t>
  </si>
  <si>
    <t>d/ Cifras preliminares para el caso de México</t>
  </si>
  <si>
    <t>Panamá SIACAP</t>
  </si>
  <si>
    <t>Panamá SICAP</t>
  </si>
  <si>
    <t>ND</t>
  </si>
  <si>
    <t>1.32</t>
  </si>
  <si>
    <t>0.75</t>
  </si>
  <si>
    <t>0.56</t>
  </si>
  <si>
    <t>Panamá SMV</t>
  </si>
  <si>
    <t>Afiliados al  31/12/16. Distribución porcentual por edad</t>
  </si>
  <si>
    <t>Diciembre 2016</t>
  </si>
  <si>
    <t>Beneficiarios por tipo de prestación, al 31/12/16</t>
  </si>
  <si>
    <t>Altas de Beneficiarios por tipo de prestación. Año 2016</t>
  </si>
  <si>
    <t>Composición de los fondos administrados. Diciembre 2016</t>
  </si>
  <si>
    <t>Balances de las administradoras al 31/12/16</t>
  </si>
  <si>
    <t>Año 2016 (millones US$)</t>
  </si>
  <si>
    <t>Cuadro 32. Diciembre 2016</t>
  </si>
  <si>
    <t>Rentabilidad bruta de los fondos de pensiones. Diciembre 2016</t>
  </si>
  <si>
    <t>0.3017*</t>
  </si>
  <si>
    <t xml:space="preserve">Panamá </t>
  </si>
  <si>
    <t>(4) Tasa anual que el afiliado paga en cuota mensual</t>
  </si>
  <si>
    <t>Afiliados al  31/12/17. Distribución porcentual por edad</t>
  </si>
  <si>
    <t>Diciembre 2017</t>
  </si>
  <si>
    <t>Año 2017 (millones US$)</t>
  </si>
  <si>
    <t>Balances de las administradoras al 31/12/17</t>
  </si>
  <si>
    <t>Composición de los fondos administrados. Diciembre 2017</t>
  </si>
  <si>
    <t>Altas de Beneficiarios por tipo de prestación. Año 2017</t>
  </si>
  <si>
    <t>Beneficiarios por tipo de prestación, al 31/12/17</t>
  </si>
  <si>
    <t>Cuadro 32. Diciembre 2017</t>
  </si>
  <si>
    <t>Rentabilidad bruta de los fondos de pensiones. Diciembre 2017</t>
  </si>
  <si>
    <t>No disponible</t>
  </si>
  <si>
    <t>e/ Cifras preliminares para el caso de México</t>
  </si>
  <si>
    <t>Nota para El Salvador: A partir de Nov-2017, el Fondo de Pensiones administrado por cada AFP se encindió en dos, de conformidad a reforma efectuada a la Ley del Sistema de Ahorro para Pensiones que entró en vigencia el 6 de octubre de 2017. Los datos que se muestran en este cuadro corresponden al total de ambos tipos de fondos.</t>
  </si>
  <si>
    <t>(5) Nota para El Salvador: A partir de Nov-2017, de conformidad a reforma efectuada a la Ley del Sistema de Ahorro para Pensiones que entró en vigencia el 6 de octubre de 2017, la tasa de cotización obligatoria aumento al 13.0%, de la cual, el 8.0% va a la Cuenta de Ahorro Individual (CIAP) y 5.0% a una Cuenta de Garantía Solidaria constituida para asumir el funcionamiento de las presentes y futuras pensiones mínimas y pensiones de los Institutos Previsioinales del Sistema de Pensiones Público.</t>
  </si>
  <si>
    <t>(1) Nota para El Salvador: A partir de Nov-2017, el Fondo de Pensiones administrado por cada AFP se encindió en dos, de conformidad a reforma efectuada a la Ley del Sistema de Ahorro para Pensiones que entró en vigencia el 6 de octubre de 2017. Los datos que se muestran en este cuadro corresponden al total de ambos tipos de fondos.</t>
  </si>
  <si>
    <t>(2) Nota para El Salvador: A partir de Nov-2017, el Fondo de Pensiones administrado por cada AFP se encindió en dos, de conformidad a reforma efectuada a la Ley del Sistema de Ahorro para Pensiones que entró en vigencia el 6 de octubre de 2017. Los datos que se muestran en este cuadro corresponden al total de ambos tipos de fondos.</t>
  </si>
  <si>
    <t>(1) La proporción no considera a los trabajadores no identificados por sexo.</t>
  </si>
  <si>
    <t>(1) Nota: La definición de aportante se refiere al último mes, salvo México que considera activos en el último bimestre según el IMSS.</t>
  </si>
  <si>
    <t>(5) Nota para El Salvador: A partir de Nov-2017, el Fondo de Pensiones administrado por cada AFP se encindió en dos, de conformidad a reforma efectuada a la Ley del Sistema de Ahorro para Pensiones que entró en vigencia el 6 de octubre de 2017. Los datos que se muestran en este cuadro corresponden al total de ambos tipos de fondos.</t>
  </si>
  <si>
    <t>Afiliados al  31/12/18 Distribución porcentual por edad</t>
  </si>
  <si>
    <t>Diciembre 2018</t>
  </si>
  <si>
    <t>Beneficiarios por tipo de prestación, al 31/12/18</t>
  </si>
  <si>
    <t>El Salvador 1</t>
  </si>
  <si>
    <r>
      <t>Fondos Administrados</t>
    </r>
    <r>
      <rPr>
        <sz val="11"/>
        <rFont val="Calibri"/>
        <family val="2"/>
      </rPr>
      <t xml:space="preserve"> (en millones de U$S)</t>
    </r>
  </si>
  <si>
    <r>
      <t>México</t>
    </r>
    <r>
      <rPr>
        <b/>
        <vertAlign val="superscript"/>
        <sz val="11"/>
        <rFont val="Calibri"/>
        <family val="2"/>
      </rPr>
      <t>1</t>
    </r>
  </si>
  <si>
    <t>Composición de los fondos administrados. Diciembre 2018</t>
  </si>
  <si>
    <r>
      <t xml:space="preserve">El Salvador </t>
    </r>
    <r>
      <rPr>
        <b/>
        <vertAlign val="superscript"/>
        <sz val="11"/>
        <rFont val="Calibri"/>
        <family val="2"/>
      </rPr>
      <t>1</t>
    </r>
  </si>
  <si>
    <t>Balances de las administradoras al 31/12/18</t>
  </si>
  <si>
    <t>Año 2018 (millones US$)</t>
  </si>
  <si>
    <r>
      <t>Año 2009</t>
    </r>
    <r>
      <rPr>
        <sz val="11"/>
        <rFont val="Calibri"/>
        <family val="2"/>
      </rPr>
      <t xml:space="preserve"> (millones US$)</t>
    </r>
  </si>
  <si>
    <r>
      <t xml:space="preserve">Año 2010 </t>
    </r>
    <r>
      <rPr>
        <sz val="11"/>
        <rFont val="Calibri"/>
        <family val="2"/>
      </rPr>
      <t>(millones US$)</t>
    </r>
  </si>
  <si>
    <r>
      <t xml:space="preserve">Año 2011 </t>
    </r>
    <r>
      <rPr>
        <sz val="11"/>
        <rFont val="Calibri"/>
        <family val="2"/>
      </rPr>
      <t>(millones US$)</t>
    </r>
  </si>
  <si>
    <r>
      <t xml:space="preserve">Año 2012 </t>
    </r>
    <r>
      <rPr>
        <sz val="11"/>
        <rFont val="Calibri"/>
        <family val="2"/>
      </rPr>
      <t>(millones US$)</t>
    </r>
  </si>
  <si>
    <r>
      <t>México</t>
    </r>
    <r>
      <rPr>
        <b/>
        <vertAlign val="superscript"/>
        <sz val="11"/>
        <rFont val="Calibri"/>
        <family val="2"/>
      </rPr>
      <t>a/,b/,c/,d/</t>
    </r>
  </si>
  <si>
    <r>
      <t xml:space="preserve">Año 2011 </t>
    </r>
    <r>
      <rPr>
        <sz val="11"/>
        <rFont val="Calibri"/>
        <family val="2"/>
      </rPr>
      <t>(millones U$)</t>
    </r>
  </si>
  <si>
    <r>
      <t xml:space="preserve">Año 2012 </t>
    </r>
    <r>
      <rPr>
        <sz val="11"/>
        <rFont val="Calibri"/>
        <family val="2"/>
      </rPr>
      <t>(millones U$)</t>
    </r>
  </si>
  <si>
    <r>
      <t>México</t>
    </r>
    <r>
      <rPr>
        <b/>
        <vertAlign val="superscript"/>
        <sz val="11"/>
        <rFont val="Calibri"/>
        <family val="2"/>
      </rPr>
      <t>a/,b/,c/</t>
    </r>
  </si>
  <si>
    <r>
      <t xml:space="preserve">Año 2013 </t>
    </r>
    <r>
      <rPr>
        <sz val="11"/>
        <rFont val="Calibri"/>
        <family val="2"/>
      </rPr>
      <t>(millones U$)</t>
    </r>
  </si>
  <si>
    <r>
      <t xml:space="preserve">Año 2014 </t>
    </r>
    <r>
      <rPr>
        <sz val="11"/>
        <rFont val="Calibri"/>
        <family val="2"/>
      </rPr>
      <t>(millones U$)</t>
    </r>
  </si>
  <si>
    <r>
      <t xml:space="preserve">Año 2015 </t>
    </r>
    <r>
      <rPr>
        <sz val="11"/>
        <rFont val="Calibri"/>
        <family val="2"/>
      </rPr>
      <t>(millones U$)</t>
    </r>
  </si>
  <si>
    <r>
      <t xml:space="preserve">Año 2016 </t>
    </r>
    <r>
      <rPr>
        <sz val="11"/>
        <rFont val="Calibri"/>
        <family val="2"/>
      </rPr>
      <t>(millones U$)</t>
    </r>
  </si>
  <si>
    <r>
      <t xml:space="preserve">Año 2017 </t>
    </r>
    <r>
      <rPr>
        <sz val="11"/>
        <rFont val="Calibri"/>
        <family val="2"/>
      </rPr>
      <t>(millones U$)</t>
    </r>
  </si>
  <si>
    <r>
      <t xml:space="preserve">Año 2018 </t>
    </r>
    <r>
      <rPr>
        <sz val="11"/>
        <rFont val="Calibri"/>
        <family val="2"/>
      </rPr>
      <t>(millones U$)</t>
    </r>
  </si>
  <si>
    <r>
      <t xml:space="preserve">Utilidad anual / Patrimonio Neto </t>
    </r>
    <r>
      <rPr>
        <sz val="11"/>
        <rFont val="Calibri"/>
        <family val="2"/>
      </rPr>
      <t>(en %)</t>
    </r>
  </si>
  <si>
    <t>Cuadro 32. Diciembre 2018</t>
  </si>
  <si>
    <t>Rentabilidad bruta de los fondos de pensiones. Diciembre 2018</t>
  </si>
  <si>
    <t>Altas de Beneficiarios por tipo de prestación. Año 2018</t>
  </si>
  <si>
    <r>
      <t>Ingresos anuales por comisión por aportante</t>
    </r>
    <r>
      <rPr>
        <b/>
        <vertAlign val="superscript"/>
        <sz val="11"/>
        <rFont val="Calibri"/>
        <family val="2"/>
      </rPr>
      <t xml:space="preserve">  1</t>
    </r>
  </si>
  <si>
    <r>
      <t xml:space="preserve">Ingresos por comisión / recaudación neta </t>
    </r>
    <r>
      <rPr>
        <b/>
        <vertAlign val="superscript"/>
        <sz val="11"/>
        <rFont val="Calibri"/>
        <family val="2"/>
      </rPr>
      <t>#</t>
    </r>
  </si>
  <si>
    <r>
      <t>Relaciones anuales</t>
    </r>
    <r>
      <rPr>
        <sz val="11"/>
        <rFont val="Calibri"/>
        <family val="2"/>
      </rPr>
      <t xml:space="preserve"> (en %)</t>
    </r>
  </si>
  <si>
    <r>
      <t xml:space="preserve">Salario promedio </t>
    </r>
    <r>
      <rPr>
        <sz val="11"/>
        <rFont val="Calibri"/>
        <family val="2"/>
      </rPr>
      <t>(en U$S)</t>
    </r>
  </si>
  <si>
    <t>No Disponible</t>
  </si>
  <si>
    <r>
      <t xml:space="preserve">Chile </t>
    </r>
    <r>
      <rPr>
        <vertAlign val="superscript"/>
        <sz val="11"/>
        <rFont val="Calibri"/>
        <family val="2"/>
      </rPr>
      <t>1</t>
    </r>
  </si>
  <si>
    <r>
      <t>México</t>
    </r>
    <r>
      <rPr>
        <vertAlign val="superscript"/>
        <sz val="11"/>
        <rFont val="Calibri"/>
        <family val="2"/>
      </rPr>
      <t xml:space="preserve"> 2</t>
    </r>
  </si>
  <si>
    <r>
      <t>Panamá SIACAP</t>
    </r>
    <r>
      <rPr>
        <vertAlign val="superscript"/>
        <sz val="11"/>
        <rFont val="Calibri"/>
        <family val="2"/>
      </rPr>
      <t xml:space="preserve"> 4</t>
    </r>
  </si>
  <si>
    <r>
      <t>Uruguay</t>
    </r>
    <r>
      <rPr>
        <vertAlign val="superscript"/>
        <sz val="11"/>
        <rFont val="Calibri"/>
        <family val="2"/>
      </rPr>
      <t>3</t>
    </r>
  </si>
  <si>
    <r>
      <t>Colombia</t>
    </r>
    <r>
      <rPr>
        <vertAlign val="superscript"/>
        <sz val="11"/>
        <rFont val="Calibri"/>
        <family val="2"/>
      </rPr>
      <t>2</t>
    </r>
  </si>
  <si>
    <r>
      <t>México</t>
    </r>
    <r>
      <rPr>
        <vertAlign val="superscript"/>
        <sz val="11"/>
        <rFont val="Calibri"/>
        <family val="2"/>
      </rPr>
      <t>3</t>
    </r>
  </si>
  <si>
    <t>Afiliados al  31/12/19 Distribución porcentual por edad</t>
  </si>
  <si>
    <t>Diciembre 2019</t>
  </si>
  <si>
    <t>Altas de Beneficiarios por tipo de prestación. Año 2019</t>
  </si>
  <si>
    <t>Composición de los fondos administrados. Diciembre 2019</t>
  </si>
  <si>
    <t>Dic 19</t>
  </si>
  <si>
    <t>Balances de las administradoras al 31/12/19</t>
  </si>
  <si>
    <r>
      <t xml:space="preserve">Año 2019 </t>
    </r>
    <r>
      <rPr>
        <sz val="11"/>
        <rFont val="Calibri"/>
        <family val="2"/>
      </rPr>
      <t>(millones U$)</t>
    </r>
  </si>
  <si>
    <t>Año 2019 (millones US$)</t>
  </si>
  <si>
    <t>Cuadro 32. Diciembre 2019</t>
  </si>
  <si>
    <t>Rentabilidad bruta de los fondos de pensiones. Diciembre 2019</t>
  </si>
  <si>
    <t>Beneficiarios por tipo de prestación, al 31/12/19</t>
  </si>
  <si>
    <t>(3) En México, a partir del 13 de diciembre de 2019 se implementaron las SIEFORE Generacionales en el Sistema de Ahorro para el Retiro (SAR). Se amplió la familia de 5 a 10 SIEFORE básicas, considerando el criterio de año de nacimiento de los trabajadores, para definir las estrategias de inversión (TDF, por sus siglas en inglés). La reestructuración permite mantener el seguimiento y comparación históricas de las cifras tanto del sistema total como para cada administradora.</t>
  </si>
  <si>
    <t>(2)  El Salvador: A partir de Nov-2017, el Fondo de Pensiones administrado por cada AFP se encindió en dos, de conformidad a reforma efectuada a la Ley del Sistema de Ahorro para Pensiones que entró en vigencia el 6 de octubre de 2017. Los datos que se muestran en este cuadro corresponden al total de ambos tipos de fondos.</t>
  </si>
  <si>
    <t>Nota: La definición de aportante se refiere al último mes. Información de México al cierre de noviembre 2019.</t>
  </si>
  <si>
    <t>(2) Nota: La definición de aportante se refiere al último mes. Información de México al cierre de noviembre 2019.</t>
  </si>
  <si>
    <t>(2) Nota: Para México se reporta la información de trabajadores que realizaron contribuciones durante los meses de octubre y noviembre de 2019.</t>
  </si>
  <si>
    <t>(6) A partir de diciembre 2015, México realizó cambios a la clasificación para ajustarse de mejor manera con lo solicitado. Por esta razón, los porcentajes pueden variar significativamente de periodos previos.
Los cambios se ven reflejados en Deuda de Instituciones Financieras Locales, Administradores de Fondos Locales, Sociedades Titulizadoras Locales y Otros.</t>
  </si>
  <si>
    <t>(7) En México, a partir del 13 de diciembre de 2019 se implementaron las SIEFORE Generacionales en el Sistema de Ahorro para el Retiro (SAR). Se amplió la familia de 5 a 10 SIEFORE básicas, considerando el criterio de año de nacimiento de los trabajadores, para definir las estrategias de inversión (TDF, por sus siglas en inglés). La reestructuración permite mantener el seguimiento y comparación históricas de las cifras tanto del sistema total como para cada administradora.</t>
  </si>
  <si>
    <t>(2): En México, a partir del 13 de diciembre de 2019 se implementaron las SIEFORE Generacionales en el Sistema de Ahorro para el Retiro (SAR). Se amplió la familia de 5 a 10 SIEFORE básicas, considerando el criterio de año de nacimiento de los trabajadores, para definir las estrategias de inversión (TDF, por sus siglas en inglés). La reestructuración permite mantener el seguimiento y comparación históricas de las cifras tanto del sistema total como para cada administradora.</t>
  </si>
  <si>
    <r>
      <t xml:space="preserve">México </t>
    </r>
    <r>
      <rPr>
        <b/>
        <vertAlign val="superscript"/>
        <sz val="11"/>
        <rFont val="Calibri"/>
        <family val="2"/>
      </rPr>
      <t>a/b/c/d</t>
    </r>
  </si>
  <si>
    <r>
      <t xml:space="preserve">México </t>
    </r>
    <r>
      <rPr>
        <b/>
        <vertAlign val="superscript"/>
        <sz val="11"/>
        <rFont val="Calibri"/>
        <family val="2"/>
      </rPr>
      <t>a/b/c/d/e</t>
    </r>
  </si>
  <si>
    <t>*En México, desde octubre de 2012, la contabilidad de las AFOREs se apega a las Normas de Información Financiera (NIF's).</t>
  </si>
  <si>
    <t>n/a</t>
  </si>
  <si>
    <t>155.165 </t>
  </si>
  <si>
    <t>0%</t>
  </si>
  <si>
    <t>Afiliados al  31/12/20 Distribución porcentual por edad</t>
  </si>
  <si>
    <t>Diciembre 2020</t>
  </si>
  <si>
    <t>Beneficiarios por tipo de prestación, al 31/12/20</t>
  </si>
  <si>
    <t>Altas de Beneficiarios por tipo de prestación. Año 2020</t>
  </si>
  <si>
    <t>Composición de los fondos administrados. Diciembre 2020</t>
  </si>
  <si>
    <t>Balances de las administradoras al 31/12/20</t>
  </si>
  <si>
    <t>Año 2020 (millones US$)</t>
  </si>
  <si>
    <t>Rentabilidad bruta de los fondos de pensiones. Diciembre 2020</t>
  </si>
  <si>
    <t>Cuadro 32. Diciembre 2020</t>
  </si>
  <si>
    <t>Nota para El Salvador: Se corrigió la serie histórica del 31/12/2005 al 31/12/2019.</t>
  </si>
  <si>
    <t>0.00%</t>
  </si>
  <si>
    <t>Nota México: Los rendimientos del periodo septiembre de 2019 en adelante tienen un cambio de criterio en el caso de que el día a considerar sea inhábil (antes de septiembre de 2019, si el día que se debía considerar era inhábil entonces se recorría hacia atrás hasta el día hábil;  ahora se utiliza el siguiente día hábil). La metodología utilizada sigue siendo la misma en toda la serie.</t>
  </si>
  <si>
    <t>Afiliados al  31/12/21 Distribución porcentual por edad</t>
  </si>
  <si>
    <t>Diciembre 2021</t>
  </si>
  <si>
    <t>Altas de Beneficiarios por tipo de prestación. Año 2021</t>
  </si>
  <si>
    <t>Composición de los fondos administrados. Diciembre 2021</t>
  </si>
  <si>
    <t>Balances de las administradoras al 31/12/21</t>
  </si>
  <si>
    <r>
      <t xml:space="preserve">Año 2020 </t>
    </r>
    <r>
      <rPr>
        <sz val="11"/>
        <rFont val="Calibri"/>
        <family val="2"/>
      </rPr>
      <t>(millones U$)</t>
    </r>
  </si>
  <si>
    <r>
      <t xml:space="preserve">Año 2021 </t>
    </r>
    <r>
      <rPr>
        <sz val="11"/>
        <rFont val="Calibri"/>
        <family val="2"/>
      </rPr>
      <t>(millones U$)</t>
    </r>
  </si>
  <si>
    <t>Año 2021 (millones US$)</t>
  </si>
  <si>
    <t>Rentabilidad bruta de los fondos de pensiones. Diciembre 2021</t>
  </si>
  <si>
    <t>Cuadro 32. Diciembre 2021</t>
  </si>
  <si>
    <t>Beneficiarios por tipo de prestación, al 31/12/21</t>
  </si>
  <si>
    <t>Afiliados al  31/12/22 Distribución porcentual por edad</t>
  </si>
  <si>
    <t>Diciembre 2022</t>
  </si>
  <si>
    <t>Beneficiarios por tipo de prestación, al 31/12/22</t>
  </si>
  <si>
    <t>Altas de Beneficiarios por tipo de prestación. Año 2022</t>
  </si>
  <si>
    <t>Composición de los fondos administrados. Diciembre 2022</t>
  </si>
  <si>
    <t>Balances de las administradoras al 31/12/22</t>
  </si>
  <si>
    <r>
      <t xml:space="preserve">Año 2022 </t>
    </r>
    <r>
      <rPr>
        <sz val="11"/>
        <rFont val="Calibri"/>
        <family val="2"/>
      </rPr>
      <t>(millones U$)</t>
    </r>
  </si>
  <si>
    <t>Año 2022 (millones US$)</t>
  </si>
  <si>
    <t>Cuadro 32. Diciembre 2022</t>
  </si>
  <si>
    <t>Rentabilidad bruta de los fondos de pensiones. Diciembre 2022</t>
  </si>
  <si>
    <t>n.d</t>
  </si>
  <si>
    <r>
      <t xml:space="preserve">El Salvador </t>
    </r>
    <r>
      <rPr>
        <vertAlign val="superscript"/>
        <sz val="11"/>
        <rFont val="Calibri"/>
        <family val="2"/>
        <scheme val="minor"/>
      </rPr>
      <t>4</t>
    </r>
  </si>
  <si>
    <t>Diciembre 2023</t>
  </si>
  <si>
    <t>Afiliados al  31/12/23 Distribución porcentual por edad</t>
  </si>
  <si>
    <t>Beneficiarios por tipo de prestación, al 31/12/23</t>
  </si>
  <si>
    <t>Altas de Beneficiarios por tipo de prestación. Año 2023</t>
  </si>
  <si>
    <t>Composición de los fondos administrados. Diciembre 2023</t>
  </si>
  <si>
    <t>Balances de las administradoras al 31/12/23</t>
  </si>
  <si>
    <r>
      <t xml:space="preserve">Año 2023 </t>
    </r>
    <r>
      <rPr>
        <sz val="11"/>
        <rFont val="Calibri"/>
        <family val="2"/>
      </rPr>
      <t>(millones U$)</t>
    </r>
  </si>
  <si>
    <t>Año 2023 (millones US$)</t>
  </si>
  <si>
    <t>Cuadro 32. Diciembre 2023</t>
  </si>
  <si>
    <t>Rentabilidad bruta de los fondos de pensiones. Diciembre 2023</t>
  </si>
  <si>
    <r>
      <t xml:space="preserve">Recaudación anual por aportante </t>
    </r>
    <r>
      <rPr>
        <b/>
        <vertAlign val="superscript"/>
        <sz val="11"/>
        <rFont val="Calibri"/>
        <family val="2"/>
        <scheme val="minor"/>
      </rPr>
      <t>1</t>
    </r>
  </si>
  <si>
    <t>1: Recaudación neta del costo del seguro de invalidez y fallecimiento. Se consideran los  aportantes promedio del período.</t>
  </si>
  <si>
    <r>
      <t xml:space="preserve">Colombia  </t>
    </r>
    <r>
      <rPr>
        <b/>
        <vertAlign val="superscript"/>
        <sz val="11"/>
        <rFont val="Calibri"/>
        <family val="2"/>
      </rPr>
      <t>2</t>
    </r>
  </si>
  <si>
    <t>2: Incluye costos del seguro porque no pudieron discriminarse.</t>
  </si>
  <si>
    <t>4 : No incluye recursos de la subcuenta de vivienda, registrados por las Afores y administrados por el Instituto de Vivienda.</t>
  </si>
  <si>
    <r>
      <t xml:space="preserve">Costa Rica </t>
    </r>
    <r>
      <rPr>
        <b/>
        <vertAlign val="superscript"/>
        <sz val="11"/>
        <rFont val="Calibri"/>
        <family val="2"/>
        <scheme val="minor"/>
      </rPr>
      <t>3</t>
    </r>
  </si>
  <si>
    <r>
      <t xml:space="preserve">México  </t>
    </r>
    <r>
      <rPr>
        <b/>
        <vertAlign val="superscript"/>
        <sz val="11"/>
        <rFont val="Calibri"/>
        <family val="2"/>
        <scheme val="minor"/>
      </rPr>
      <t>4</t>
    </r>
  </si>
  <si>
    <t>3: Cambia metodología en octubre de 2023</t>
  </si>
  <si>
    <t>-</t>
  </si>
  <si>
    <t>Diciembre 2024</t>
  </si>
  <si>
    <t>Afiliados al  31/12/24 Distribución porcentual por edad</t>
  </si>
  <si>
    <t>Beneficiarios por tipo de prestación, al 31/12/24</t>
  </si>
  <si>
    <t>Altas de Beneficiarios por tipo de prestación. Año 2024</t>
  </si>
  <si>
    <t>Composición de los fondos administrados. Diciembre 2024</t>
  </si>
  <si>
    <t>Balances de las administradoras al 31/12/24</t>
  </si>
  <si>
    <r>
      <t xml:space="preserve">Año 2024 </t>
    </r>
    <r>
      <rPr>
        <sz val="11"/>
        <rFont val="Calibri"/>
        <family val="2"/>
      </rPr>
      <t>(millones U$)</t>
    </r>
  </si>
  <si>
    <t>Año 2024 (millones US$)</t>
  </si>
  <si>
    <t>Cuadro 32. Diciembre 2024</t>
  </si>
  <si>
    <t>Rentabilidad bruta de los fondos de pensiones. Diciembre 2024</t>
  </si>
  <si>
    <t>1.58</t>
  </si>
  <si>
    <t>0.00</t>
  </si>
  <si>
    <t>Diciembre 2025</t>
  </si>
  <si>
    <t>Afiliados al  31/12/25 Distribución porcentual por edad</t>
  </si>
  <si>
    <t>Beneficiarios por tipo de prestación, al 31/12/25</t>
  </si>
  <si>
    <t>Altas de Beneficiarios por tipo de prestación. Año 2025</t>
  </si>
  <si>
    <t>Composición de los fondos administrados. Diciembre 2025</t>
  </si>
  <si>
    <t>Balances de las administradoras al 31/12/25</t>
  </si>
  <si>
    <r>
      <t xml:space="preserve">Año 2025 </t>
    </r>
    <r>
      <rPr>
        <sz val="11"/>
        <rFont val="Calibri"/>
        <family val="2"/>
      </rPr>
      <t>(millones U$)</t>
    </r>
  </si>
  <si>
    <t>Año 2025 (millones US$)</t>
  </si>
  <si>
    <t>Cuadro 32. Diciembre 2025</t>
  </si>
  <si>
    <t>Rentabilidad bruta de los fondos de pensiones. Diciembre 2025</t>
  </si>
  <si>
    <t>60,23%|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</si>
</sst>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1">
    <numFmt numFmtId="43" formatCode="_ * #,##0.00_ ;_ * \-#,##0.00_ ;_ * &quot;-&quot;??_ ;_ @_ "/>
    <numFmt numFmtId="164" formatCode="_-* #,##0_-;\-* #,##0_-;_-* &quot;-&quot;_-;_-@_-"/>
    <numFmt numFmtId="165" formatCode="_-&quot;$&quot;\ * #,##0.00_-;\-&quot;$&quot;\ * #,##0.00_-;_-&quot;$&quot;\ * &quot;-&quot;??_-;_-@_-"/>
    <numFmt numFmtId="166" formatCode="_-* #,##0.00_-;\-* #,##0.00_-;_-* &quot;-&quot;??_-;_-@_-"/>
    <numFmt numFmtId="167" formatCode="0.0"/>
    <numFmt numFmtId="168" formatCode="0.0%"/>
    <numFmt numFmtId="169" formatCode="#,##0.0"/>
    <numFmt numFmtId="170" formatCode="#,##0,"/>
    <numFmt numFmtId="171" formatCode="#,##0\ \ \ \ "/>
    <numFmt numFmtId="172" formatCode="#,##0\ \ \ "/>
    <numFmt numFmtId="173" formatCode="#,##0,,\ \ "/>
    <numFmt numFmtId="174" formatCode="#,##0,,\ \ \ \ "/>
    <numFmt numFmtId="175" formatCode="#,##0,\ \ \ "/>
    <numFmt numFmtId="176" formatCode="#,##0,\ \ \ \ \ \ "/>
    <numFmt numFmtId="177" formatCode="#,##0\ \ "/>
    <numFmt numFmtId="178" formatCode="0.0%\ \ \ \ \ \ \ \ \ \ \ \ "/>
    <numFmt numFmtId="179" formatCode="#,##0,,\ \ \ \ \ "/>
    <numFmt numFmtId="180" formatCode="#,##0.0,,\ \ \ \ \ \ \ \ "/>
    <numFmt numFmtId="181" formatCode="#,##0.0,,\ \ \ \ \ \ "/>
    <numFmt numFmtId="182" formatCode="#,##0.0,,\ \ \ "/>
    <numFmt numFmtId="183" formatCode="#,##0.0,,\ \ \ \ \ "/>
    <numFmt numFmtId="184" formatCode="#,##0\ \ \ \ \ \ "/>
    <numFmt numFmtId="185" formatCode="#,##0.0\ \ "/>
    <numFmt numFmtId="186" formatCode="#,##0\ "/>
    <numFmt numFmtId="187" formatCode="0.0000"/>
    <numFmt numFmtId="188" formatCode="_-* #,##0.0_-;\-* #,##0.0_-;_-* &quot;-&quot;_-;_-@_-"/>
    <numFmt numFmtId="189" formatCode="#,##0,,"/>
    <numFmt numFmtId="190" formatCode="#,##0.0,,"/>
    <numFmt numFmtId="191" formatCode="#,##0;[Red]#,##0"/>
    <numFmt numFmtId="192" formatCode="#,##0,,\ \ \ \ \ \ \ \ "/>
    <numFmt numFmtId="193" formatCode="#,##0,,\ \ \ "/>
    <numFmt numFmtId="194" formatCode="#,##0.0,\ \ \ "/>
    <numFmt numFmtId="195" formatCode="#,##0.000"/>
    <numFmt numFmtId="196" formatCode="#,##0.000,,\ \ \ "/>
    <numFmt numFmtId="197" formatCode="#,##0.0,,\ \ \ \ "/>
    <numFmt numFmtId="198" formatCode="&quot;$&quot;#,##0;\-&quot;$&quot;#,##0"/>
    <numFmt numFmtId="199" formatCode="_-[$€-2]* #,##0.00_-;\-[$€-2]* #,##0.00_-;_-[$€-2]* &quot;-&quot;??_-"/>
    <numFmt numFmtId="200" formatCode="_ #,##0.0__\ ;_ \-#,##0.0__\ ;_ \ &quot;-.-&quot;__\ ;_ @__"/>
    <numFmt numFmtId="201" formatCode="_ #,##0.0__\ ;_ \-#,##0.0__\ ;_ \ &quot;-.-&quot;__\ ;_ @\ __"/>
    <numFmt numFmtId="202" formatCode="_ * #,##0_ ;_ * \-#,##0_ ;_ * &quot;-&quot;_ ;_ @_ \l"/>
    <numFmt numFmtId="203" formatCode="_ [$€-2]\ * #,##0.00_ ;_ [$€-2]\ * \-#,##0.00_ ;_ [$€-2]\ * &quot;-&quot;??_ "/>
    <numFmt numFmtId="204" formatCode="_ &quot;B/.&quot;\ * #,##0.00_ ;_ &quot;B/.&quot;\ * \-#,##0.00_ ;_ &quot;B/.&quot;\ * &quot;-&quot;??_ ;_ @_ "/>
    <numFmt numFmtId="205" formatCode="0.000"/>
    <numFmt numFmtId="206" formatCode="#,##0.00\ \ "/>
    <numFmt numFmtId="207" formatCode="_(* #,##0_);_(* \(#,##0\);_(* &quot;-&quot;??_);_(@_)"/>
    <numFmt numFmtId="208" formatCode="_-* #,##0.0_-;\-* #,##0.0_-;_-* &quot;-&quot;??_-;_-@_-"/>
    <numFmt numFmtId="209" formatCode="_-* #,##0_-;\-* #,##0_-;_-* &quot;-&quot;??_-;_-@_-"/>
    <numFmt numFmtId="210" formatCode="_-* #,##0.00_-;\-* #,##0.00_-;_-* &quot;-&quot;_-;_-@_-"/>
    <numFmt numFmtId="211" formatCode="0.000000"/>
    <numFmt numFmtId="212" formatCode="&quot;$&quot;\ #,##0;\-&quot;$&quot;\ #,##0"/>
    <numFmt numFmtId="213" formatCode="General_)"/>
  </numFmts>
  <fonts count="69">
    <font>
      <sz val="12"/>
      <name val="Times New Roman"/>
    </font>
    <font>
      <sz val="11"/>
      <color theme="1"/>
      <name val="Calibri"/>
      <family val="2"/>
      <scheme val="minor"/>
    </font>
    <font>
      <sz val="11"/>
      <color theme="1"/>
      <name val="Calibri"/>
      <family val="2"/>
      <scheme val="minor"/>
    </font>
    <font>
      <sz val="12"/>
      <name val="Times New Roman"/>
      <family val="1"/>
    </font>
    <font>
      <sz val="10"/>
      <name val="Arial"/>
      <family val="2"/>
    </font>
    <font>
      <b/>
      <sz val="10"/>
      <name val="Swis721 Cn BT"/>
      <family val="2"/>
    </font>
    <font>
      <sz val="10"/>
      <name val="Swis721 Cn BT"/>
      <family val="2"/>
    </font>
    <font>
      <sz val="10"/>
      <name val="Times New Roman"/>
      <family val="1"/>
    </font>
    <font>
      <b/>
      <sz val="12"/>
      <name val="Times New Roman"/>
      <family val="1"/>
    </font>
    <font>
      <sz val="8"/>
      <name val="Times New Roman"/>
      <family val="1"/>
    </font>
    <font>
      <sz val="12"/>
      <name val="Times New Roman"/>
      <family val="1"/>
    </font>
    <font>
      <sz val="9"/>
      <color indexed="81"/>
      <name val="Tahoma"/>
      <family val="2"/>
    </font>
    <font>
      <sz val="8"/>
      <color indexed="81"/>
      <name val="Tahoma"/>
      <family val="2"/>
    </font>
    <font>
      <b/>
      <sz val="9"/>
      <color indexed="81"/>
      <name val="Tahoma"/>
      <family val="2"/>
    </font>
    <font>
      <sz val="11"/>
      <color indexed="8"/>
      <name val="Calibri"/>
      <family val="2"/>
    </font>
    <font>
      <sz val="12"/>
      <color indexed="24"/>
      <name val="Arial"/>
      <family val="2"/>
    </font>
    <font>
      <b/>
      <sz val="18"/>
      <color indexed="24"/>
      <name val="Arial"/>
      <family val="2"/>
    </font>
    <font>
      <b/>
      <sz val="12"/>
      <color indexed="24"/>
      <name val="Arial"/>
      <family val="2"/>
    </font>
    <font>
      <b/>
      <sz val="18"/>
      <name val="Arial"/>
      <family val="2"/>
    </font>
    <font>
      <b/>
      <sz val="12"/>
      <name val="Arial"/>
      <family val="2"/>
    </font>
    <font>
      <sz val="11"/>
      <name val="Calibri"/>
      <family val="2"/>
    </font>
    <font>
      <b/>
      <vertAlign val="superscript"/>
      <sz val="11"/>
      <name val="Calibri"/>
      <family val="2"/>
    </font>
    <font>
      <vertAlign val="superscript"/>
      <sz val="11"/>
      <name val="Calibri"/>
      <family val="2"/>
    </font>
    <font>
      <sz val="10"/>
      <name val="Swis721 BT"/>
      <family val="2"/>
    </font>
    <font>
      <sz val="10"/>
      <name val="MS Sans Serif"/>
      <family val="2"/>
    </font>
    <font>
      <sz val="11"/>
      <color theme="1"/>
      <name val="Calibri"/>
      <family val="2"/>
      <scheme val="minor"/>
    </font>
    <font>
      <sz val="11"/>
      <color theme="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sz val="11"/>
      <color rgb="FF9C0006"/>
      <name val="Calibri"/>
      <family val="2"/>
      <scheme val="minor"/>
    </font>
    <font>
      <sz val="11"/>
      <color rgb="FF9C6500"/>
      <name val="Calibri"/>
      <family val="2"/>
      <scheme val="minor"/>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sz val="12"/>
      <name val="Calibri"/>
      <family val="2"/>
      <scheme val="minor"/>
    </font>
    <font>
      <sz val="12"/>
      <color indexed="10"/>
      <name val="Calibri"/>
      <family val="2"/>
      <scheme val="minor"/>
    </font>
    <font>
      <b/>
      <sz val="11"/>
      <name val="Calibri"/>
      <family val="2"/>
      <scheme val="minor"/>
    </font>
    <font>
      <sz val="11"/>
      <name val="Calibri"/>
      <family val="2"/>
      <scheme val="minor"/>
    </font>
    <font>
      <b/>
      <sz val="11"/>
      <color indexed="10"/>
      <name val="Calibri"/>
      <family val="2"/>
      <scheme val="minor"/>
    </font>
    <font>
      <sz val="11"/>
      <color indexed="10"/>
      <name val="Calibri"/>
      <family val="2"/>
      <scheme val="minor"/>
    </font>
    <font>
      <sz val="11"/>
      <color indexed="8"/>
      <name val="Calibri"/>
      <family val="2"/>
      <scheme val="minor"/>
    </font>
    <font>
      <b/>
      <sz val="11"/>
      <color indexed="8"/>
      <name val="Calibri"/>
      <family val="2"/>
      <scheme val="minor"/>
    </font>
    <font>
      <b/>
      <sz val="12"/>
      <color indexed="10"/>
      <name val="Calibri"/>
      <family val="2"/>
      <scheme val="minor"/>
    </font>
    <font>
      <b/>
      <sz val="11"/>
      <color rgb="FF000000"/>
      <name val="Calibri"/>
      <family val="2"/>
      <scheme val="minor"/>
    </font>
    <font>
      <b/>
      <sz val="11"/>
      <color rgb="FFFF0000"/>
      <name val="Calibri"/>
      <family val="2"/>
      <scheme val="minor"/>
    </font>
    <font>
      <sz val="11"/>
      <color rgb="FF000000"/>
      <name val="Calibri"/>
      <family val="2"/>
      <scheme val="minor"/>
    </font>
    <font>
      <sz val="10"/>
      <name val="Calibri"/>
      <family val="2"/>
      <scheme val="minor"/>
    </font>
    <font>
      <sz val="12"/>
      <color indexed="8"/>
      <name val="Calibri"/>
      <family val="2"/>
      <scheme val="minor"/>
    </font>
    <font>
      <b/>
      <sz val="12"/>
      <color indexed="8"/>
      <name val="Calibri"/>
      <family val="2"/>
      <scheme val="minor"/>
    </font>
    <font>
      <b/>
      <sz val="12"/>
      <color rgb="FF000000"/>
      <name val="Calibri"/>
      <family val="2"/>
      <scheme val="minor"/>
    </font>
    <font>
      <sz val="11"/>
      <color rgb="FF000000"/>
      <name val="Calibri"/>
      <family val="2"/>
    </font>
    <font>
      <sz val="11"/>
      <color theme="4"/>
      <name val="Calibri"/>
      <family val="2"/>
      <scheme val="minor"/>
    </font>
    <font>
      <vertAlign val="superscript"/>
      <sz val="11"/>
      <name val="Calibri"/>
      <family val="2"/>
      <scheme val="minor"/>
    </font>
    <font>
      <sz val="11"/>
      <name val="Swis721 Cn BT"/>
      <family val="2"/>
    </font>
    <font>
      <b/>
      <sz val="11"/>
      <name val="Swis721 Cn BT"/>
      <family val="2"/>
    </font>
    <font>
      <b/>
      <vertAlign val="superscript"/>
      <sz val="11"/>
      <name val="Calibri"/>
      <family val="2"/>
      <scheme val="minor"/>
    </font>
    <font>
      <sz val="11"/>
      <color theme="1"/>
      <name val="Calibri"/>
      <family val="2"/>
    </font>
    <font>
      <b/>
      <sz val="11"/>
      <color rgb="FF000000"/>
      <name val="Calibri"/>
      <family val="2"/>
    </font>
    <font>
      <sz val="11"/>
      <color rgb="FFFF0000"/>
      <name val="Calibri"/>
      <family val="2"/>
    </font>
    <font>
      <sz val="12"/>
      <color theme="1"/>
      <name val="Arial"/>
      <family val="2"/>
    </font>
    <font>
      <sz val="12"/>
      <name val="Helv"/>
    </font>
  </fonts>
  <fills count="41">
    <fill>
      <patternFill patternType="none"/>
    </fill>
    <fill>
      <patternFill patternType="gray125"/>
    </fill>
    <fill>
      <patternFill patternType="solid">
        <fgColor indexed="54"/>
        <bgColor indexed="64"/>
      </patternFill>
    </fill>
    <fill>
      <patternFill patternType="solid">
        <fgColor indexed="13"/>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tint="-0.14999847407452621"/>
        <bgColor indexed="64"/>
      </patternFill>
    </fill>
    <fill>
      <patternFill patternType="solid">
        <fgColor theme="2" tint="-9.9978637043366805E-2"/>
        <bgColor indexed="64"/>
      </patternFill>
    </fill>
    <fill>
      <patternFill patternType="solid">
        <fgColor rgb="FFDBD6AB"/>
        <bgColor indexed="64"/>
      </patternFill>
    </fill>
    <fill>
      <patternFill patternType="solid">
        <fgColor theme="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2" tint="-9.9978637043366805E-2"/>
        <bgColor rgb="FF000000"/>
      </patternFill>
    </fill>
  </fills>
  <borders count="31">
    <border>
      <left/>
      <right/>
      <top/>
      <bottom/>
      <diagonal/>
    </border>
    <border>
      <left/>
      <right style="medium">
        <color indexed="0"/>
      </right>
      <top/>
      <bottom/>
      <diagonal/>
    </border>
    <border>
      <left style="thin">
        <color indexed="64"/>
      </left>
      <right style="thin">
        <color indexed="64"/>
      </right>
      <top style="thin">
        <color indexed="64"/>
      </top>
      <bottom style="thin">
        <color indexed="64"/>
      </bottom>
      <diagonal/>
    </border>
    <border>
      <left/>
      <right/>
      <top style="thin">
        <color indexed="64"/>
      </top>
      <bottom style="double">
        <color indexed="64"/>
      </bottom>
      <diagonal/>
    </border>
    <border>
      <left/>
      <right style="thick">
        <color indexed="9"/>
      </right>
      <top style="thick">
        <color indexed="9"/>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style="thick">
        <color indexed="9"/>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right style="thick">
        <color rgb="FFFFFFFF"/>
      </right>
      <top style="medium">
        <color rgb="FFFFFFFF"/>
      </top>
      <bottom/>
      <diagonal/>
    </border>
    <border>
      <left/>
      <right/>
      <top/>
      <bottom style="medium">
        <color rgb="FFFFFFFF"/>
      </bottom>
      <diagonal/>
    </border>
  </borders>
  <cellStyleXfs count="110">
    <xf numFmtId="0" fontId="0" fillId="0" borderId="0"/>
    <xf numFmtId="0" fontId="25" fillId="4" borderId="0" applyNumberFormat="0" applyBorder="0" applyAlignment="0" applyProtection="0"/>
    <xf numFmtId="0" fontId="25" fillId="5" borderId="0" applyNumberFormat="0" applyBorder="0" applyAlignment="0" applyProtection="0"/>
    <xf numFmtId="0" fontId="25" fillId="6" borderId="0" applyNumberFormat="0" applyBorder="0" applyAlignment="0" applyProtection="0"/>
    <xf numFmtId="0" fontId="25" fillId="7" borderId="0" applyNumberFormat="0" applyBorder="0" applyAlignment="0" applyProtection="0"/>
    <xf numFmtId="0" fontId="25" fillId="8" borderId="0" applyNumberFormat="0" applyBorder="0" applyAlignment="0" applyProtection="0"/>
    <xf numFmtId="0" fontId="25" fillId="9" borderId="0" applyNumberFormat="0" applyBorder="0" applyAlignment="0" applyProtection="0"/>
    <xf numFmtId="0" fontId="25" fillId="10" borderId="0" applyNumberFormat="0" applyBorder="0" applyAlignment="0" applyProtection="0"/>
    <xf numFmtId="0" fontId="25" fillId="11" borderId="0" applyNumberFormat="0" applyBorder="0" applyAlignment="0" applyProtection="0"/>
    <xf numFmtId="0" fontId="25" fillId="12" borderId="0" applyNumberFormat="0" applyBorder="0" applyAlignment="0" applyProtection="0"/>
    <xf numFmtId="0" fontId="25" fillId="13" borderId="0" applyNumberFormat="0" applyBorder="0" applyAlignment="0" applyProtection="0"/>
    <xf numFmtId="0" fontId="25" fillId="14" borderId="0" applyNumberFormat="0" applyBorder="0" applyAlignment="0" applyProtection="0"/>
    <xf numFmtId="0" fontId="25" fillId="15" borderId="0" applyNumberFormat="0" applyBorder="0" applyAlignment="0" applyProtection="0"/>
    <xf numFmtId="0" fontId="26" fillId="16" borderId="0" applyNumberFormat="0" applyBorder="0" applyAlignment="0" applyProtection="0"/>
    <xf numFmtId="0" fontId="26" fillId="17" borderId="0" applyNumberFormat="0" applyBorder="0" applyAlignment="0" applyProtection="0"/>
    <xf numFmtId="0" fontId="26" fillId="18" borderId="0" applyNumberFormat="0" applyBorder="0" applyAlignment="0" applyProtection="0"/>
    <xf numFmtId="0" fontId="26" fillId="19" borderId="0" applyNumberFormat="0" applyBorder="0" applyAlignment="0" applyProtection="0"/>
    <xf numFmtId="0" fontId="26" fillId="20" borderId="0" applyNumberFormat="0" applyBorder="0" applyAlignment="0" applyProtection="0"/>
    <xf numFmtId="0" fontId="26" fillId="21" borderId="0" applyNumberFormat="0" applyBorder="0" applyAlignment="0" applyProtection="0"/>
    <xf numFmtId="0" fontId="27" fillId="22" borderId="20" applyNumberFormat="0" applyAlignment="0" applyProtection="0"/>
    <xf numFmtId="0" fontId="4" fillId="0" borderId="1"/>
    <xf numFmtId="0" fontId="4" fillId="0" borderId="1"/>
    <xf numFmtId="0" fontId="28" fillId="23" borderId="21" applyNumberFormat="0" applyAlignment="0" applyProtection="0"/>
    <xf numFmtId="0" fontId="29" fillId="0" borderId="22" applyNumberFormat="0" applyFill="0" applyAlignment="0" applyProtection="0"/>
    <xf numFmtId="0" fontId="4" fillId="0" borderId="1"/>
    <xf numFmtId="0" fontId="18" fillId="0" borderId="0" applyNumberFormat="0" applyFill="0" applyBorder="0" applyAlignment="0" applyProtection="0"/>
    <xf numFmtId="0" fontId="19" fillId="0" borderId="0" applyNumberFormat="0" applyFill="0" applyBorder="0" applyAlignment="0" applyProtection="0"/>
    <xf numFmtId="0" fontId="31" fillId="0" borderId="0" applyNumberFormat="0" applyFill="0" applyBorder="0" applyAlignment="0" applyProtection="0"/>
    <xf numFmtId="0" fontId="26" fillId="24" borderId="0" applyNumberFormat="0" applyBorder="0" applyAlignment="0" applyProtection="0"/>
    <xf numFmtId="0" fontId="26" fillId="25" borderId="0" applyNumberFormat="0" applyBorder="0" applyAlignment="0" applyProtection="0"/>
    <xf numFmtId="0" fontId="26" fillId="26" borderId="0" applyNumberFormat="0" applyBorder="0" applyAlignment="0" applyProtection="0"/>
    <xf numFmtId="0" fontId="26" fillId="27" borderId="0" applyNumberFormat="0" applyBorder="0" applyAlignment="0" applyProtection="0"/>
    <xf numFmtId="0" fontId="26" fillId="28" borderId="0" applyNumberFormat="0" applyBorder="0" applyAlignment="0" applyProtection="0"/>
    <xf numFmtId="0" fontId="26" fillId="29" borderId="0" applyNumberFormat="0" applyBorder="0" applyAlignment="0" applyProtection="0"/>
    <xf numFmtId="0" fontId="32" fillId="30" borderId="20" applyNumberFormat="0" applyAlignment="0" applyProtection="0"/>
    <xf numFmtId="199" fontId="4" fillId="0" borderId="0" applyFont="0" applyFill="0" applyBorder="0" applyAlignment="0" applyProtection="0"/>
    <xf numFmtId="203" fontId="4" fillId="0" borderId="0" applyFont="0" applyFill="0" applyBorder="0" applyAlignment="0" applyProtection="0"/>
    <xf numFmtId="203" fontId="4" fillId="0" borderId="0" applyFont="0" applyFill="0" applyBorder="0" applyAlignment="0" applyProtection="0"/>
    <xf numFmtId="199" fontId="4" fillId="0" borderId="0" applyFont="0" applyFill="0" applyBorder="0" applyAlignment="0" applyProtection="0"/>
    <xf numFmtId="0" fontId="15" fillId="0" borderId="0" applyNumberFormat="0" applyFill="0" applyBorder="0" applyAlignment="0" applyProtection="0"/>
    <xf numFmtId="15" fontId="4" fillId="0" borderId="2" applyFill="0" applyBorder="0" applyProtection="0">
      <alignment horizontal="center" wrapText="1" shrinkToFit="1"/>
    </xf>
    <xf numFmtId="2" fontId="15" fillId="0" borderId="0" applyFill="0" applyBorder="0" applyAlignment="0" applyProtection="0"/>
    <xf numFmtId="1" fontId="4" fillId="0" borderId="0" applyFont="0" applyFill="0" applyBorder="0" applyAlignment="0" applyProtection="0">
      <protection locked="0"/>
    </xf>
    <xf numFmtId="1" fontId="4" fillId="0" borderId="0" applyFont="0" applyFill="0" applyBorder="0" applyAlignment="0" applyProtection="0">
      <protection locked="0"/>
    </xf>
    <xf numFmtId="0" fontId="16" fillId="0" borderId="0" applyNumberFormat="0" applyFill="0" applyBorder="0" applyAlignment="0" applyProtection="0"/>
    <xf numFmtId="0" fontId="17" fillId="0" borderId="0" applyNumberFormat="0" applyFill="0" applyBorder="0" applyAlignment="0" applyProtection="0"/>
    <xf numFmtId="0" fontId="33" fillId="0" borderId="0" applyNumberFormat="0" applyFill="0" applyBorder="0" applyAlignment="0" applyProtection="0">
      <alignment vertical="top"/>
      <protection locked="0"/>
    </xf>
    <xf numFmtId="0" fontId="34" fillId="31" borderId="0" applyNumberFormat="0" applyBorder="0" applyAlignment="0" applyProtection="0"/>
    <xf numFmtId="0" fontId="3" fillId="0" borderId="0" applyFont="0" applyFill="0" applyBorder="0" applyAlignment="0" applyProtection="0"/>
    <xf numFmtId="164" fontId="3" fillId="0" borderId="0" applyFont="0" applyFill="0" applyBorder="0" applyAlignment="0" applyProtection="0"/>
    <xf numFmtId="0" fontId="10" fillId="0" borderId="0" applyFont="0" applyFill="0" applyBorder="0" applyAlignment="0" applyProtection="0"/>
    <xf numFmtId="43" fontId="4" fillId="0" borderId="0" applyFont="0" applyFill="0" applyBorder="0" applyAlignment="0" applyProtection="0"/>
    <xf numFmtId="0" fontId="3"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200" fontId="7" fillId="0" borderId="0" applyFont="0" applyFill="0" applyBorder="0" applyAlignment="0" applyProtection="0"/>
    <xf numFmtId="201" fontId="7" fillId="0" borderId="0" applyFill="0" applyBorder="0" applyAlignment="0" applyProtection="0"/>
    <xf numFmtId="165" fontId="3" fillId="0" borderId="0" applyFont="0" applyFill="0" applyBorder="0" applyAlignment="0" applyProtection="0"/>
    <xf numFmtId="204" fontId="4" fillId="0" borderId="0" applyFont="0" applyFill="0" applyBorder="0" applyAlignment="0" applyProtection="0"/>
    <xf numFmtId="198" fontId="4" fillId="0" borderId="0" applyFont="0" applyFill="0" applyBorder="0" applyAlignment="0" applyProtection="0"/>
    <xf numFmtId="198" fontId="4" fillId="0" borderId="0" applyFont="0" applyFill="0" applyBorder="0" applyAlignment="0" applyProtection="0"/>
    <xf numFmtId="0" fontId="35" fillId="32" borderId="0" applyNumberFormat="0" applyBorder="0" applyAlignment="0" applyProtection="0"/>
    <xf numFmtId="0" fontId="10" fillId="0" borderId="0"/>
    <xf numFmtId="0" fontId="4" fillId="0" borderId="0"/>
    <xf numFmtId="0" fontId="4" fillId="0" borderId="0"/>
    <xf numFmtId="0" fontId="3" fillId="0" borderId="0"/>
    <xf numFmtId="0" fontId="25" fillId="0" borderId="0"/>
    <xf numFmtId="0" fontId="4" fillId="0" borderId="1"/>
    <xf numFmtId="0" fontId="4" fillId="0" borderId="1"/>
    <xf numFmtId="0" fontId="25" fillId="0" borderId="0"/>
    <xf numFmtId="0" fontId="24" fillId="0" borderId="1"/>
    <xf numFmtId="0" fontId="25" fillId="33" borderId="24" applyNumberFormat="0" applyFont="0" applyAlignment="0" applyProtection="0"/>
    <xf numFmtId="202" fontId="3" fillId="0" borderId="0" applyFont="0" applyFill="0" applyBorder="0" applyAlignment="0" applyProtection="0"/>
    <xf numFmtId="9" fontId="3"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4" fillId="0" borderId="0" applyFont="0" applyFill="0" applyBorder="0" applyAlignment="0" applyProtection="0"/>
    <xf numFmtId="3" fontId="4" fillId="0" borderId="0" applyFont="0" applyFill="0" applyBorder="0" applyAlignment="0" applyProtection="0"/>
    <xf numFmtId="3" fontId="4" fillId="0" borderId="0" applyFont="0" applyFill="0" applyBorder="0" applyAlignment="0" applyProtection="0"/>
    <xf numFmtId="0" fontId="36" fillId="22" borderId="25" applyNumberFormat="0" applyAlignment="0" applyProtection="0"/>
    <xf numFmtId="0" fontId="37" fillId="0" borderId="0" applyNumberFormat="0" applyFill="0" applyBorder="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30" fillId="0" borderId="23" applyNumberFormat="0" applyFill="0" applyAlignment="0" applyProtection="0"/>
    <xf numFmtId="0" fontId="40" fillId="0" borderId="26" applyNumberFormat="0" applyFill="0" applyAlignment="0" applyProtection="0"/>
    <xf numFmtId="0" fontId="31" fillId="0" borderId="27" applyNumberFormat="0" applyFill="0" applyAlignment="0" applyProtection="0"/>
    <xf numFmtId="0" fontId="41" fillId="0" borderId="28" applyNumberFormat="0" applyFill="0" applyAlignment="0" applyProtection="0"/>
    <xf numFmtId="0" fontId="15" fillId="0" borderId="3" applyNumberFormat="0" applyFill="0" applyAlignment="0" applyProtection="0"/>
    <xf numFmtId="0" fontId="1" fillId="0" borderId="0"/>
    <xf numFmtId="9" fontId="1" fillId="0" borderId="0" applyFont="0" applyFill="0" applyBorder="0" applyAlignment="0" applyProtection="0"/>
    <xf numFmtId="166" fontId="1" fillId="0" borderId="0" applyFont="0" applyFill="0" applyBorder="0" applyAlignment="0" applyProtection="0"/>
    <xf numFmtId="0" fontId="4" fillId="0" borderId="1"/>
    <xf numFmtId="166" fontId="1" fillId="0" borderId="0" applyFont="0" applyFill="0" applyBorder="0" applyAlignment="0" applyProtection="0"/>
    <xf numFmtId="15" fontId="4" fillId="0" borderId="2" applyFill="0" applyBorder="0" applyProtection="0">
      <alignment horizontal="center" wrapText="1" shrinkToFit="1"/>
    </xf>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1" fillId="0" borderId="0" applyFont="0" applyFill="0" applyBorder="0" applyAlignment="0" applyProtection="0"/>
    <xf numFmtId="212" fontId="4" fillId="0" borderId="0" applyFont="0" applyFill="0" applyBorder="0" applyAlignment="0" applyProtection="0"/>
    <xf numFmtId="212" fontId="4" fillId="0" borderId="0" applyFont="0" applyFill="0" applyBorder="0" applyAlignment="0" applyProtection="0"/>
    <xf numFmtId="0" fontId="67" fillId="0" borderId="0"/>
    <xf numFmtId="0" fontId="4" fillId="0" borderId="1"/>
    <xf numFmtId="0" fontId="4" fillId="0" borderId="1"/>
    <xf numFmtId="213" fontId="68" fillId="0" borderId="0"/>
    <xf numFmtId="0" fontId="4" fillId="0" borderId="1"/>
    <xf numFmtId="0" fontId="15" fillId="0" borderId="3" applyNumberFormat="0" applyFill="0" applyAlignment="0" applyProtection="0"/>
  </cellStyleXfs>
  <cellXfs count="718">
    <xf numFmtId="0" fontId="0" fillId="0" borderId="0" xfId="0"/>
    <xf numFmtId="0" fontId="5" fillId="0" borderId="0" xfId="0" applyFont="1"/>
    <xf numFmtId="0" fontId="0" fillId="3" borderId="0" xfId="0" applyFill="1"/>
    <xf numFmtId="0" fontId="8" fillId="0" borderId="0" xfId="0" applyFont="1"/>
    <xf numFmtId="17" fontId="0" fillId="0" borderId="0" xfId="0" applyNumberFormat="1"/>
    <xf numFmtId="0" fontId="0" fillId="0" borderId="0" xfId="0" quotePrefix="1"/>
    <xf numFmtId="14" fontId="0" fillId="0" borderId="0" xfId="0" applyNumberFormat="1"/>
    <xf numFmtId="0" fontId="43" fillId="0" borderId="0" xfId="0" applyFont="1"/>
    <xf numFmtId="0" fontId="42" fillId="0" borderId="0" xfId="0" applyFont="1"/>
    <xf numFmtId="0" fontId="44" fillId="0" borderId="0" xfId="0" applyFont="1"/>
    <xf numFmtId="0" fontId="45" fillId="0" borderId="0" xfId="0" applyFont="1" applyAlignment="1">
      <alignment horizontal="left"/>
    </xf>
    <xf numFmtId="0" fontId="46" fillId="0" borderId="0" xfId="0" applyFont="1"/>
    <xf numFmtId="0" fontId="44" fillId="0" borderId="0" xfId="0" applyFont="1" applyAlignment="1">
      <alignment horizontal="left"/>
    </xf>
    <xf numFmtId="0" fontId="47" fillId="0" borderId="0" xfId="0" applyFont="1"/>
    <xf numFmtId="0" fontId="44" fillId="2" borderId="0" xfId="0" applyFont="1" applyFill="1" applyAlignment="1">
      <alignment horizontal="center" vertical="center"/>
    </xf>
    <xf numFmtId="0" fontId="44" fillId="0" borderId="0" xfId="0" applyFont="1" applyAlignment="1">
      <alignment horizontal="center" vertical="center"/>
    </xf>
    <xf numFmtId="0" fontId="44" fillId="2" borderId="0" xfId="0" applyFont="1" applyFill="1" applyAlignment="1">
      <alignment horizontal="center" vertical="center" wrapText="1"/>
    </xf>
    <xf numFmtId="0" fontId="44" fillId="2" borderId="0" xfId="0" applyFont="1" applyFill="1" applyAlignment="1">
      <alignment horizontal="center" wrapText="1"/>
    </xf>
    <xf numFmtId="0" fontId="44" fillId="0" borderId="0" xfId="0" applyFont="1" applyAlignment="1">
      <alignment horizontal="center" vertical="center" wrapText="1"/>
    </xf>
    <xf numFmtId="0" fontId="44" fillId="0" borderId="0" xfId="0" applyFont="1" applyAlignment="1">
      <alignment horizontal="center" wrapText="1"/>
    </xf>
    <xf numFmtId="3" fontId="45" fillId="0" borderId="0" xfId="48" applyNumberFormat="1" applyFont="1" applyBorder="1" applyAlignment="1"/>
    <xf numFmtId="3" fontId="48" fillId="0" borderId="0" xfId="48" applyNumberFormat="1" applyFont="1" applyFill="1" applyBorder="1" applyAlignment="1"/>
    <xf numFmtId="0" fontId="44" fillId="2" borderId="0" xfId="0" applyFont="1" applyFill="1" applyAlignment="1">
      <alignment horizontal="left"/>
    </xf>
    <xf numFmtId="0" fontId="44" fillId="2" borderId="0" xfId="0" applyFont="1" applyFill="1" applyAlignment="1">
      <alignment horizontal="center"/>
    </xf>
    <xf numFmtId="3" fontId="49" fillId="2" borderId="0" xfId="48" applyNumberFormat="1" applyFont="1" applyFill="1" applyBorder="1" applyAlignment="1"/>
    <xf numFmtId="0" fontId="47" fillId="0" borderId="0" xfId="48" applyFont="1" applyFill="1" applyBorder="1"/>
    <xf numFmtId="1" fontId="47" fillId="0" borderId="0" xfId="0" applyNumberFormat="1" applyFont="1" applyAlignment="1">
      <alignment horizontal="center"/>
    </xf>
    <xf numFmtId="0" fontId="44" fillId="35" borderId="0" xfId="0" applyFont="1" applyFill="1" applyAlignment="1">
      <alignment horizontal="center" vertical="center" wrapText="1"/>
    </xf>
    <xf numFmtId="0" fontId="45" fillId="35" borderId="0" xfId="0" applyFont="1" applyFill="1" applyAlignment="1">
      <alignment horizontal="center" vertical="center" wrapText="1"/>
    </xf>
    <xf numFmtId="0" fontId="45" fillId="0" borderId="0" xfId="0" applyFont="1"/>
    <xf numFmtId="0" fontId="44" fillId="0" borderId="0" xfId="0" applyFont="1" applyAlignment="1">
      <alignment horizontal="left" vertical="center"/>
    </xf>
    <xf numFmtId="0" fontId="45" fillId="34" borderId="0" xfId="0" applyFont="1" applyFill="1" applyAlignment="1">
      <alignment horizontal="center" vertical="center"/>
    </xf>
    <xf numFmtId="3" fontId="45" fillId="34" borderId="0" xfId="0" applyNumberFormat="1" applyFont="1" applyFill="1" applyAlignment="1">
      <alignment horizontal="right" vertical="center"/>
    </xf>
    <xf numFmtId="167" fontId="45" fillId="0" borderId="0" xfId="0" applyNumberFormat="1" applyFont="1" applyAlignment="1">
      <alignment horizontal="center" vertical="center"/>
    </xf>
    <xf numFmtId="0" fontId="45" fillId="0" borderId="0" xfId="0" applyFont="1" applyAlignment="1">
      <alignment horizontal="center" vertical="center"/>
    </xf>
    <xf numFmtId="169" fontId="45" fillId="0" borderId="0" xfId="0" applyNumberFormat="1" applyFont="1" applyAlignment="1">
      <alignment horizontal="right" vertical="center"/>
    </xf>
    <xf numFmtId="169" fontId="45" fillId="0" borderId="0" xfId="0" applyNumberFormat="1" applyFont="1"/>
    <xf numFmtId="0" fontId="44" fillId="36" borderId="0" xfId="0" applyFont="1" applyFill="1" applyAlignment="1">
      <alignment horizontal="left" vertical="center"/>
    </xf>
    <xf numFmtId="167" fontId="44" fillId="36" borderId="0" xfId="0" applyNumberFormat="1" applyFont="1" applyFill="1" applyAlignment="1">
      <alignment horizontal="center" vertical="center"/>
    </xf>
    <xf numFmtId="169" fontId="44" fillId="36" borderId="0" xfId="0" applyNumberFormat="1" applyFont="1" applyFill="1" applyAlignment="1">
      <alignment horizontal="right" vertical="center"/>
    </xf>
    <xf numFmtId="167" fontId="44" fillId="0" borderId="0" xfId="0" applyNumberFormat="1" applyFont="1" applyAlignment="1">
      <alignment horizontal="center" vertical="center"/>
    </xf>
    <xf numFmtId="169" fontId="44" fillId="0" borderId="0" xfId="0" applyNumberFormat="1" applyFont="1" applyAlignment="1">
      <alignment horizontal="right" vertical="center"/>
    </xf>
    <xf numFmtId="169" fontId="45" fillId="0" borderId="0" xfId="0" applyNumberFormat="1" applyFont="1" applyAlignment="1" applyProtection="1">
      <alignment horizontal="center"/>
      <protection locked="0"/>
    </xf>
    <xf numFmtId="175" fontId="45" fillId="0" borderId="0" xfId="48" applyNumberFormat="1" applyFont="1" applyFill="1" applyBorder="1" applyAlignment="1"/>
    <xf numFmtId="167" fontId="45" fillId="0" borderId="0" xfId="75" applyNumberFormat="1" applyFont="1" applyFill="1" applyBorder="1" applyAlignment="1">
      <alignment horizontal="center"/>
    </xf>
    <xf numFmtId="1" fontId="45" fillId="0" borderId="0" xfId="75" applyNumberFormat="1" applyFont="1" applyFill="1" applyBorder="1" applyAlignment="1">
      <alignment horizontal="center"/>
    </xf>
    <xf numFmtId="0" fontId="44" fillId="35" borderId="0" xfId="0" applyFont="1" applyFill="1" applyAlignment="1">
      <alignment horizontal="left" vertical="center"/>
    </xf>
    <xf numFmtId="167" fontId="44" fillId="35" borderId="0" xfId="0" applyNumberFormat="1" applyFont="1" applyFill="1" applyAlignment="1">
      <alignment horizontal="center" vertical="center"/>
    </xf>
    <xf numFmtId="3" fontId="44" fillId="35" borderId="0" xfId="0" applyNumberFormat="1" applyFont="1" applyFill="1" applyAlignment="1">
      <alignment horizontal="right" vertical="center"/>
    </xf>
    <xf numFmtId="0" fontId="45" fillId="0" borderId="0" xfId="0" applyFont="1" applyAlignment="1">
      <alignment vertical="center"/>
    </xf>
    <xf numFmtId="0" fontId="45" fillId="0" borderId="0" xfId="0" applyFont="1" applyAlignment="1">
      <alignment vertical="center" wrapText="1"/>
    </xf>
    <xf numFmtId="0" fontId="45" fillId="0" borderId="0" xfId="0" applyFont="1" applyAlignment="1">
      <alignment wrapText="1"/>
    </xf>
    <xf numFmtId="3" fontId="45" fillId="0" borderId="0" xfId="0" applyNumberFormat="1" applyFont="1" applyAlignment="1">
      <alignment horizontal="right" vertical="center"/>
    </xf>
    <xf numFmtId="3" fontId="44" fillId="36" borderId="0" xfId="0" applyNumberFormat="1" applyFont="1" applyFill="1" applyAlignment="1">
      <alignment horizontal="right" vertical="center"/>
    </xf>
    <xf numFmtId="175" fontId="45" fillId="0" borderId="0" xfId="48" applyNumberFormat="1" applyFont="1" applyFill="1" applyBorder="1" applyAlignment="1">
      <alignment horizontal="right"/>
    </xf>
    <xf numFmtId="194" fontId="45" fillId="0" borderId="0" xfId="48" applyNumberFormat="1" applyFont="1" applyFill="1" applyBorder="1" applyAlignment="1">
      <alignment horizontal="right"/>
    </xf>
    <xf numFmtId="4" fontId="45" fillId="0" borderId="0" xfId="0" applyNumberFormat="1" applyFont="1" applyAlignment="1">
      <alignment horizontal="right" vertical="center"/>
    </xf>
    <xf numFmtId="194" fontId="45" fillId="0" borderId="0" xfId="50" applyNumberFormat="1" applyFont="1" applyFill="1" applyBorder="1" applyAlignment="1">
      <alignment horizontal="right"/>
    </xf>
    <xf numFmtId="175" fontId="45" fillId="0" borderId="0" xfId="50" applyNumberFormat="1" applyFont="1" applyFill="1" applyBorder="1" applyAlignment="1">
      <alignment horizontal="right"/>
    </xf>
    <xf numFmtId="0" fontId="45" fillId="0" borderId="0" xfId="48" applyFont="1" applyAlignment="1">
      <alignment horizontal="right" vertical="center"/>
    </xf>
    <xf numFmtId="167" fontId="45" fillId="37" borderId="0" xfId="0" applyNumberFormat="1" applyFont="1" applyFill="1" applyAlignment="1">
      <alignment horizontal="center" vertical="center"/>
    </xf>
    <xf numFmtId="169" fontId="45" fillId="37" borderId="0" xfId="0" applyNumberFormat="1" applyFont="1" applyFill="1" applyAlignment="1">
      <alignment horizontal="right" vertical="center"/>
    </xf>
    <xf numFmtId="3" fontId="45" fillId="0" borderId="0" xfId="48" applyNumberFormat="1" applyFont="1" applyAlignment="1">
      <alignment horizontal="right" vertical="center"/>
    </xf>
    <xf numFmtId="2" fontId="45" fillId="0" borderId="0" xfId="0" applyNumberFormat="1" applyFont="1" applyAlignment="1">
      <alignment horizontal="center" vertical="center"/>
    </xf>
    <xf numFmtId="3" fontId="45" fillId="0" borderId="0" xfId="48" applyNumberFormat="1" applyFont="1" applyFill="1" applyBorder="1" applyAlignment="1"/>
    <xf numFmtId="3" fontId="45" fillId="37" borderId="0" xfId="0" applyNumberFormat="1" applyFont="1" applyFill="1" applyAlignment="1">
      <alignment horizontal="center" vertical="center"/>
    </xf>
    <xf numFmtId="4" fontId="45" fillId="0" borderId="0" xfId="0" applyNumberFormat="1" applyFont="1" applyAlignment="1">
      <alignment horizontal="center" vertical="center"/>
    </xf>
    <xf numFmtId="177" fontId="45" fillId="0" borderId="0" xfId="48" applyNumberFormat="1" applyFont="1" applyBorder="1" applyAlignment="1">
      <alignment horizontal="center" vertical="center"/>
    </xf>
    <xf numFmtId="3" fontId="45" fillId="0" borderId="0" xfId="48" applyNumberFormat="1" applyFont="1" applyAlignment="1">
      <alignment horizontal="center" vertical="center"/>
    </xf>
    <xf numFmtId="3" fontId="45" fillId="0" borderId="0" xfId="48" applyNumberFormat="1" applyFont="1" applyFill="1" applyBorder="1" applyAlignment="1">
      <alignment horizontal="center"/>
    </xf>
    <xf numFmtId="175" fontId="45" fillId="0" borderId="0" xfId="48" applyNumberFormat="1" applyFont="1" applyFill="1" applyBorder="1" applyAlignment="1">
      <alignment horizontal="center"/>
    </xf>
    <xf numFmtId="0" fontId="45" fillId="0" borderId="0" xfId="0" applyFont="1" applyAlignment="1">
      <alignment horizontal="center"/>
    </xf>
    <xf numFmtId="169" fontId="45" fillId="0" borderId="0" xfId="0" applyNumberFormat="1" applyFont="1" applyAlignment="1">
      <alignment horizontal="center"/>
    </xf>
    <xf numFmtId="3" fontId="45" fillId="0" borderId="0" xfId="0" applyNumberFormat="1" applyFont="1" applyAlignment="1">
      <alignment horizontal="center"/>
    </xf>
    <xf numFmtId="0" fontId="45" fillId="0" borderId="0" xfId="0" applyFont="1" applyAlignment="1">
      <alignment horizontal="centerContinuous"/>
    </xf>
    <xf numFmtId="0" fontId="47" fillId="0" borderId="0" xfId="0" applyFont="1" applyAlignment="1">
      <alignment horizontal="centerContinuous"/>
    </xf>
    <xf numFmtId="0" fontId="47" fillId="0" borderId="0" xfId="0" applyFont="1" applyAlignment="1">
      <alignment wrapText="1"/>
    </xf>
    <xf numFmtId="14" fontId="44" fillId="35" borderId="0" xfId="0" quotePrefix="1" applyNumberFormat="1" applyFont="1" applyFill="1" applyAlignment="1">
      <alignment horizontal="center" vertical="center" wrapText="1"/>
    </xf>
    <xf numFmtId="167" fontId="45" fillId="0" borderId="0" xfId="75" applyNumberFormat="1" applyFont="1" applyBorder="1" applyAlignment="1">
      <alignment horizontal="center"/>
    </xf>
    <xf numFmtId="167" fontId="45" fillId="34" borderId="0" xfId="75" applyNumberFormat="1" applyFont="1" applyFill="1" applyBorder="1" applyAlignment="1">
      <alignment horizontal="center"/>
    </xf>
    <xf numFmtId="0" fontId="47" fillId="34" borderId="0" xfId="0" applyFont="1" applyFill="1"/>
    <xf numFmtId="0" fontId="47" fillId="37" borderId="0" xfId="0" applyFont="1" applyFill="1"/>
    <xf numFmtId="167" fontId="45" fillId="0" borderId="0" xfId="0" applyNumberFormat="1" applyFont="1" applyAlignment="1">
      <alignment horizontal="center"/>
    </xf>
    <xf numFmtId="178" fontId="48" fillId="0" borderId="0" xfId="48" applyNumberFormat="1" applyFont="1" applyBorder="1" applyAlignment="1">
      <alignment horizontal="right"/>
    </xf>
    <xf numFmtId="0" fontId="46" fillId="0" borderId="0" xfId="0" applyFont="1" applyAlignment="1">
      <alignment horizontal="left"/>
    </xf>
    <xf numFmtId="0" fontId="44" fillId="35" borderId="0" xfId="0" applyFont="1" applyFill="1" applyAlignment="1">
      <alignment horizontal="left"/>
    </xf>
    <xf numFmtId="186" fontId="49" fillId="35" borderId="0" xfId="48" applyNumberFormat="1" applyFont="1" applyFill="1" applyBorder="1" applyAlignment="1">
      <alignment horizontal="right"/>
    </xf>
    <xf numFmtId="0" fontId="47" fillId="0" borderId="0" xfId="48" applyFont="1" applyBorder="1"/>
    <xf numFmtId="179" fontId="48" fillId="0" borderId="0" xfId="0" applyNumberFormat="1" applyFont="1" applyAlignment="1">
      <alignment vertical="center"/>
    </xf>
    <xf numFmtId="0" fontId="45" fillId="0" borderId="0" xfId="0" applyFont="1" applyAlignment="1">
      <alignment vertical="top"/>
    </xf>
    <xf numFmtId="3" fontId="45" fillId="0" borderId="0" xfId="75" applyNumberFormat="1" applyFont="1" applyBorder="1" applyAlignment="1">
      <alignment horizontal="center"/>
    </xf>
    <xf numFmtId="0" fontId="45" fillId="2" borderId="0" xfId="0" applyFont="1" applyFill="1"/>
    <xf numFmtId="0" fontId="44" fillId="0" borderId="0" xfId="0" applyFont="1" applyAlignment="1">
      <alignment horizontal="centerContinuous" vertical="center" wrapText="1"/>
    </xf>
    <xf numFmtId="0" fontId="44" fillId="2" borderId="0" xfId="0" applyFont="1" applyFill="1" applyAlignment="1">
      <alignment horizontal="centerContinuous" vertical="center" wrapText="1"/>
    </xf>
    <xf numFmtId="0" fontId="44" fillId="2" borderId="0" xfId="0" applyFont="1" applyFill="1" applyAlignment="1">
      <alignment horizontal="center" vertical="top" wrapText="1"/>
    </xf>
    <xf numFmtId="0" fontId="44" fillId="36" borderId="0" xfId="0" applyFont="1" applyFill="1" applyAlignment="1">
      <alignment horizontal="center" vertical="center"/>
    </xf>
    <xf numFmtId="3" fontId="51" fillId="36" borderId="0" xfId="0" applyNumberFormat="1" applyFont="1" applyFill="1" applyAlignment="1">
      <alignment horizontal="right" vertical="center"/>
    </xf>
    <xf numFmtId="0" fontId="45" fillId="0" borderId="0" xfId="48" applyFont="1" applyFill="1" applyBorder="1" applyAlignment="1">
      <alignment horizontal="center"/>
    </xf>
    <xf numFmtId="3" fontId="51" fillId="0" borderId="0" xfId="0" applyNumberFormat="1" applyFont="1" applyAlignment="1">
      <alignment horizontal="right" vertical="center"/>
    </xf>
    <xf numFmtId="0" fontId="44" fillId="0" borderId="0" xfId="0" applyFont="1" applyAlignment="1">
      <alignment horizontal="center"/>
    </xf>
    <xf numFmtId="172" fontId="44" fillId="0" borderId="0" xfId="48" applyNumberFormat="1" applyFont="1" applyBorder="1" applyAlignment="1"/>
    <xf numFmtId="168" fontId="45" fillId="0" borderId="0" xfId="48" applyNumberFormat="1" applyFont="1" applyFill="1" applyBorder="1" applyAlignment="1">
      <alignment horizontal="center"/>
    </xf>
    <xf numFmtId="172" fontId="44" fillId="0" borderId="0" xfId="48" applyNumberFormat="1" applyFont="1" applyFill="1" applyBorder="1" applyAlignment="1"/>
    <xf numFmtId="9" fontId="45" fillId="0" borderId="0" xfId="48" applyNumberFormat="1" applyFont="1" applyFill="1" applyBorder="1" applyAlignment="1">
      <alignment horizontal="center"/>
    </xf>
    <xf numFmtId="172" fontId="44" fillId="0" borderId="0" xfId="50" applyNumberFormat="1" applyFont="1" applyFill="1" applyBorder="1" applyAlignment="1"/>
    <xf numFmtId="168" fontId="45" fillId="0" borderId="0" xfId="50" applyNumberFormat="1" applyFont="1" applyFill="1" applyBorder="1" applyAlignment="1">
      <alignment horizontal="center"/>
    </xf>
    <xf numFmtId="3" fontId="45" fillId="0" borderId="0" xfId="0" applyNumberFormat="1" applyFont="1"/>
    <xf numFmtId="0" fontId="44" fillId="36" borderId="0" xfId="0" applyFont="1" applyFill="1" applyAlignment="1">
      <alignment horizontal="center" vertical="center" wrapText="1"/>
    </xf>
    <xf numFmtId="0" fontId="44" fillId="36" borderId="29" xfId="0" applyFont="1" applyFill="1" applyBorder="1" applyAlignment="1">
      <alignment horizontal="center" vertical="center" wrapText="1"/>
    </xf>
    <xf numFmtId="164" fontId="45" fillId="0" borderId="0" xfId="49" applyFont="1" applyFill="1" applyBorder="1"/>
    <xf numFmtId="177" fontId="45" fillId="34" borderId="0" xfId="48" applyNumberFormat="1" applyFont="1" applyFill="1" applyBorder="1" applyAlignment="1"/>
    <xf numFmtId="188" fontId="45" fillId="0" borderId="0" xfId="49" applyNumberFormat="1" applyFont="1" applyFill="1" applyBorder="1"/>
    <xf numFmtId="188" fontId="45" fillId="0" borderId="0" xfId="49" applyNumberFormat="1" applyFont="1" applyFill="1" applyBorder="1" applyAlignment="1"/>
    <xf numFmtId="188" fontId="45" fillId="0" borderId="0" xfId="0" applyNumberFormat="1" applyFont="1"/>
    <xf numFmtId="164" fontId="45" fillId="0" borderId="0" xfId="49" applyFont="1" applyFill="1" applyBorder="1" applyAlignment="1">
      <alignment horizontal="center"/>
    </xf>
    <xf numFmtId="164" fontId="45" fillId="0" borderId="0" xfId="49" applyFont="1" applyFill="1" applyBorder="1" applyAlignment="1"/>
    <xf numFmtId="169" fontId="45" fillId="0" borderId="0" xfId="48" applyNumberFormat="1" applyFont="1" applyBorder="1" applyAlignment="1"/>
    <xf numFmtId="3" fontId="45" fillId="0" borderId="0" xfId="50" applyNumberFormat="1" applyFont="1" applyFill="1" applyBorder="1" applyAlignment="1">
      <alignment horizontal="center"/>
    </xf>
    <xf numFmtId="169" fontId="45" fillId="0" borderId="0" xfId="50" applyNumberFormat="1" applyFont="1" applyFill="1" applyBorder="1" applyAlignment="1"/>
    <xf numFmtId="169" fontId="45" fillId="0" borderId="0" xfId="48" applyNumberFormat="1" applyFont="1" applyFill="1" applyBorder="1" applyAlignment="1">
      <alignment horizontal="right"/>
    </xf>
    <xf numFmtId="188" fontId="44" fillId="36" borderId="0" xfId="0" applyNumberFormat="1" applyFont="1" applyFill="1" applyAlignment="1">
      <alignment horizontal="center" vertical="center"/>
    </xf>
    <xf numFmtId="186" fontId="49" fillId="0" borderId="0" xfId="48" applyNumberFormat="1" applyFont="1" applyFill="1" applyBorder="1" applyAlignment="1"/>
    <xf numFmtId="169" fontId="44" fillId="0" borderId="0" xfId="48" applyNumberFormat="1" applyFont="1" applyFill="1" applyBorder="1" applyAlignment="1">
      <alignment horizontal="center"/>
    </xf>
    <xf numFmtId="164" fontId="47" fillId="0" borderId="0" xfId="0" applyNumberFormat="1" applyFont="1"/>
    <xf numFmtId="177" fontId="45" fillId="0" borderId="0" xfId="48" applyNumberFormat="1" applyFont="1" applyBorder="1" applyAlignment="1"/>
    <xf numFmtId="177" fontId="45" fillId="0" borderId="0" xfId="48" applyNumberFormat="1" applyFont="1" applyFill="1" applyBorder="1" applyAlignment="1"/>
    <xf numFmtId="177" fontId="45" fillId="0" borderId="0" xfId="48" applyNumberFormat="1" applyFont="1" applyFill="1" applyBorder="1" applyAlignment="1">
      <alignment vertical="center"/>
    </xf>
    <xf numFmtId="177" fontId="45" fillId="0" borderId="0" xfId="50" applyNumberFormat="1" applyFont="1" applyFill="1" applyBorder="1" applyAlignment="1"/>
    <xf numFmtId="177" fontId="48" fillId="0" borderId="0" xfId="48" applyNumberFormat="1" applyFont="1" applyBorder="1" applyAlignment="1">
      <alignment horizontal="right"/>
    </xf>
    <xf numFmtId="167" fontId="45" fillId="37" borderId="0" xfId="75" applyNumberFormat="1" applyFont="1" applyFill="1" applyBorder="1" applyAlignment="1">
      <alignment horizontal="center"/>
    </xf>
    <xf numFmtId="167" fontId="45" fillId="0" borderId="0" xfId="48" applyNumberFormat="1" applyFont="1" applyBorder="1" applyAlignment="1">
      <alignment horizontal="center"/>
    </xf>
    <xf numFmtId="2" fontId="45" fillId="0" borderId="0" xfId="75" applyNumberFormat="1" applyFont="1" applyBorder="1" applyAlignment="1">
      <alignment horizontal="center"/>
    </xf>
    <xf numFmtId="0" fontId="48" fillId="0" borderId="0" xfId="0" applyFont="1"/>
    <xf numFmtId="168" fontId="47" fillId="0" borderId="0" xfId="75" applyNumberFormat="1" applyFont="1" applyFill="1" applyBorder="1"/>
    <xf numFmtId="0" fontId="47" fillId="0" borderId="0" xfId="0" applyFont="1" applyAlignment="1">
      <alignment horizontal="center" vertical="center" wrapText="1"/>
    </xf>
    <xf numFmtId="0" fontId="44" fillId="0" borderId="0" xfId="48" applyFont="1" applyFill="1" applyBorder="1" applyAlignment="1">
      <alignment horizontal="center" vertical="center" wrapText="1"/>
    </xf>
    <xf numFmtId="179" fontId="45" fillId="0" borderId="0" xfId="48" applyNumberFormat="1" applyFont="1" applyBorder="1" applyAlignment="1">
      <alignment horizontal="right"/>
    </xf>
    <xf numFmtId="179" fontId="45" fillId="34" borderId="0" xfId="48" applyNumberFormat="1" applyFont="1" applyFill="1" applyBorder="1" applyAlignment="1">
      <alignment horizontal="right"/>
    </xf>
    <xf numFmtId="3" fontId="45" fillId="0" borderId="0" xfId="48" applyNumberFormat="1" applyFont="1" applyBorder="1" applyAlignment="1">
      <alignment horizontal="right"/>
    </xf>
    <xf numFmtId="3" fontId="45" fillId="34" borderId="0" xfId="48" applyNumberFormat="1" applyFont="1" applyFill="1" applyBorder="1" applyAlignment="1">
      <alignment horizontal="right"/>
    </xf>
    <xf numFmtId="0" fontId="47" fillId="0" borderId="0" xfId="0" applyFont="1" applyAlignment="1">
      <alignment horizontal="center"/>
    </xf>
    <xf numFmtId="179" fontId="45" fillId="0" borderId="0" xfId="48" applyNumberFormat="1" applyFont="1" applyFill="1" applyBorder="1" applyAlignment="1">
      <alignment horizontal="right"/>
    </xf>
    <xf numFmtId="191" fontId="45" fillId="0" borderId="0" xfId="48" applyNumberFormat="1" applyFont="1" applyBorder="1" applyAlignment="1">
      <alignment horizontal="center"/>
    </xf>
    <xf numFmtId="0" fontId="47" fillId="0" borderId="0" xfId="48" applyFont="1"/>
    <xf numFmtId="0" fontId="47" fillId="0" borderId="0" xfId="0" applyFont="1" applyAlignment="1">
      <alignment horizontal="center" wrapText="1"/>
    </xf>
    <xf numFmtId="167" fontId="45" fillId="0" borderId="0" xfId="75" applyNumberFormat="1" applyFont="1" applyFill="1" applyBorder="1" applyAlignment="1">
      <alignment horizontal="center" vertical="center"/>
    </xf>
    <xf numFmtId="169" fontId="45" fillId="0" borderId="0" xfId="75" applyNumberFormat="1" applyFont="1" applyBorder="1" applyAlignment="1">
      <alignment horizontal="center"/>
    </xf>
    <xf numFmtId="2" fontId="45" fillId="0" borderId="0" xfId="0" applyNumberFormat="1" applyFont="1"/>
    <xf numFmtId="169" fontId="45" fillId="0" borderId="0" xfId="75" applyNumberFormat="1" applyFont="1" applyFill="1" applyBorder="1" applyAlignment="1">
      <alignment horizontal="center"/>
    </xf>
    <xf numFmtId="1" fontId="47" fillId="0" borderId="0" xfId="0" applyNumberFormat="1" applyFont="1"/>
    <xf numFmtId="170" fontId="45" fillId="0" borderId="0" xfId="0" applyNumberFormat="1" applyFont="1"/>
    <xf numFmtId="0" fontId="44" fillId="37" borderId="0" xfId="0" applyFont="1" applyFill="1" applyAlignment="1">
      <alignment horizontal="left"/>
    </xf>
    <xf numFmtId="0" fontId="44" fillId="37" borderId="0" xfId="0" applyFont="1" applyFill="1" applyAlignment="1">
      <alignment horizontal="center" vertical="center" wrapText="1"/>
    </xf>
    <xf numFmtId="0" fontId="44" fillId="37" borderId="0" xfId="0" applyFont="1" applyFill="1"/>
    <xf numFmtId="169" fontId="45" fillId="34" borderId="0" xfId="75" applyNumberFormat="1" applyFont="1" applyFill="1" applyBorder="1" applyAlignment="1">
      <alignment horizontal="center"/>
    </xf>
    <xf numFmtId="169" fontId="45" fillId="0" borderId="0" xfId="48" applyNumberFormat="1" applyFont="1" applyFill="1" applyBorder="1" applyAlignment="1">
      <alignment horizontal="center" vertical="center"/>
    </xf>
    <xf numFmtId="169" fontId="45" fillId="0" borderId="0" xfId="50" applyNumberFormat="1" applyFont="1" applyFill="1" applyBorder="1" applyAlignment="1">
      <alignment horizontal="center" vertical="center"/>
    </xf>
    <xf numFmtId="0" fontId="45" fillId="37" borderId="0" xfId="0" applyFont="1" applyFill="1"/>
    <xf numFmtId="0" fontId="45" fillId="37" borderId="0" xfId="0" applyFont="1" applyFill="1" applyAlignment="1">
      <alignment horizontal="centerContinuous"/>
    </xf>
    <xf numFmtId="169" fontId="45" fillId="0" borderId="0" xfId="75" applyNumberFormat="1" applyFont="1" applyFill="1" applyBorder="1" applyAlignment="1">
      <alignment horizontal="center" vertical="center"/>
    </xf>
    <xf numFmtId="169" fontId="45" fillId="0" borderId="0" xfId="75" applyNumberFormat="1" applyFont="1" applyBorder="1" applyAlignment="1">
      <alignment horizontal="center" vertical="center"/>
    </xf>
    <xf numFmtId="189" fontId="45" fillId="0" borderId="0" xfId="75" applyNumberFormat="1" applyFont="1" applyBorder="1" applyAlignment="1">
      <alignment horizontal="center"/>
    </xf>
    <xf numFmtId="175" fontId="45" fillId="0" borderId="0" xfId="0" applyNumberFormat="1" applyFont="1" applyAlignment="1">
      <alignment horizontal="center"/>
    </xf>
    <xf numFmtId="169" fontId="47" fillId="0" borderId="0" xfId="0" applyNumberFormat="1" applyFont="1"/>
    <xf numFmtId="0" fontId="45" fillId="0" borderId="0" xfId="0" applyFont="1" applyAlignment="1">
      <alignment horizontal="centerContinuous" wrapText="1"/>
    </xf>
    <xf numFmtId="49" fontId="44" fillId="35" borderId="4" xfId="0" applyNumberFormat="1" applyFont="1" applyFill="1" applyBorder="1" applyAlignment="1">
      <alignment horizontal="center" vertical="center" wrapText="1"/>
    </xf>
    <xf numFmtId="3" fontId="45" fillId="34" borderId="0" xfId="0" applyNumberFormat="1" applyFont="1" applyFill="1" applyAlignment="1">
      <alignment horizontal="center"/>
    </xf>
    <xf numFmtId="0" fontId="47" fillId="34" borderId="0" xfId="0" applyFont="1" applyFill="1" applyAlignment="1">
      <alignment horizontal="center" vertical="center" wrapText="1"/>
    </xf>
    <xf numFmtId="169" fontId="45" fillId="0" borderId="0" xfId="0" applyNumberFormat="1" applyFont="1" applyAlignment="1">
      <alignment horizontal="right"/>
    </xf>
    <xf numFmtId="3" fontId="45" fillId="0" borderId="0" xfId="0" applyNumberFormat="1" applyFont="1" applyAlignment="1">
      <alignment horizontal="right"/>
    </xf>
    <xf numFmtId="173" fontId="45" fillId="0" borderId="0" xfId="48" applyNumberFormat="1" applyFont="1" applyFill="1" applyBorder="1" applyAlignment="1"/>
    <xf numFmtId="168" fontId="45" fillId="0" borderId="0" xfId="75" applyNumberFormat="1" applyFont="1" applyFill="1" applyBorder="1" applyAlignment="1">
      <alignment horizontal="center"/>
    </xf>
    <xf numFmtId="169" fontId="44" fillId="35" borderId="0" xfId="0" applyNumberFormat="1" applyFont="1" applyFill="1" applyAlignment="1">
      <alignment horizontal="center"/>
    </xf>
    <xf numFmtId="169" fontId="44" fillId="35" borderId="0" xfId="75" applyNumberFormat="1" applyFont="1" applyFill="1" applyBorder="1" applyAlignment="1">
      <alignment horizontal="center"/>
    </xf>
    <xf numFmtId="1" fontId="47" fillId="0" borderId="0" xfId="0" applyNumberFormat="1" applyFont="1" applyAlignment="1">
      <alignment horizontal="centerContinuous" wrapText="1"/>
    </xf>
    <xf numFmtId="0" fontId="47" fillId="0" borderId="0" xfId="48" applyFont="1" applyFill="1" applyBorder="1" applyAlignment="1"/>
    <xf numFmtId="0" fontId="47" fillId="0" borderId="0" xfId="48" applyFont="1" applyFill="1" applyBorder="1" applyAlignment="1">
      <alignment horizontal="center" vertical="center" wrapText="1"/>
    </xf>
    <xf numFmtId="3" fontId="44" fillId="0" borderId="0" xfId="0" applyNumberFormat="1" applyFont="1"/>
    <xf numFmtId="3" fontId="45" fillId="34" borderId="0" xfId="75" applyNumberFormat="1" applyFont="1" applyFill="1" applyBorder="1" applyAlignment="1">
      <alignment horizontal="center"/>
    </xf>
    <xf numFmtId="3" fontId="45" fillId="0" borderId="0" xfId="75" applyNumberFormat="1" applyFont="1" applyFill="1" applyBorder="1" applyAlignment="1">
      <alignment horizontal="center"/>
    </xf>
    <xf numFmtId="3" fontId="45" fillId="0" borderId="0" xfId="75" applyNumberFormat="1" applyFont="1" applyBorder="1" applyAlignment="1">
      <alignment horizontal="center" vertical="center"/>
    </xf>
    <xf numFmtId="3" fontId="45" fillId="0" borderId="0" xfId="75" applyNumberFormat="1" applyFont="1" applyFill="1" applyBorder="1" applyAlignment="1">
      <alignment horizontal="center" vertical="center"/>
    </xf>
    <xf numFmtId="1" fontId="45" fillId="0" borderId="0" xfId="48" applyNumberFormat="1" applyFont="1" applyFill="1" applyBorder="1" applyAlignment="1">
      <alignment horizontal="center" vertical="center"/>
    </xf>
    <xf numFmtId="1" fontId="45" fillId="0" borderId="0" xfId="50" applyNumberFormat="1" applyFont="1" applyFill="1" applyBorder="1" applyAlignment="1">
      <alignment horizontal="center" vertical="center"/>
    </xf>
    <xf numFmtId="167" fontId="47" fillId="0" borderId="0" xfId="0" applyNumberFormat="1" applyFont="1"/>
    <xf numFmtId="3" fontId="48" fillId="0" borderId="0" xfId="48" applyNumberFormat="1" applyFont="1" applyBorder="1" applyAlignment="1">
      <alignment horizontal="right"/>
    </xf>
    <xf numFmtId="0" fontId="52" fillId="0" borderId="0" xfId="0" applyFont="1" applyAlignment="1">
      <alignment horizontal="left"/>
    </xf>
    <xf numFmtId="0" fontId="47" fillId="0" borderId="0" xfId="0" applyFont="1" applyAlignment="1">
      <alignment horizontal="left"/>
    </xf>
    <xf numFmtId="0" fontId="47" fillId="0" borderId="0" xfId="48" applyFont="1" applyBorder="1" applyAlignment="1">
      <alignment horizontal="left"/>
    </xf>
    <xf numFmtId="182" fontId="44" fillId="0" borderId="0" xfId="75" applyNumberFormat="1" applyFont="1" applyBorder="1" applyAlignment="1">
      <alignment horizontal="center" vertical="center"/>
    </xf>
    <xf numFmtId="182" fontId="45" fillId="0" borderId="0" xfId="75" applyNumberFormat="1" applyFont="1" applyBorder="1" applyAlignment="1"/>
    <xf numFmtId="182" fontId="44" fillId="0" borderId="0" xfId="75" applyNumberFormat="1" applyFont="1" applyBorder="1" applyAlignment="1">
      <alignment horizontal="center"/>
    </xf>
    <xf numFmtId="182" fontId="44" fillId="0" borderId="0" xfId="75" applyNumberFormat="1" applyFont="1" applyBorder="1" applyAlignment="1"/>
    <xf numFmtId="182" fontId="44" fillId="0" borderId="0" xfId="75" applyNumberFormat="1" applyFont="1" applyFill="1" applyBorder="1" applyAlignment="1">
      <alignment horizontal="center" vertical="center"/>
    </xf>
    <xf numFmtId="182" fontId="45" fillId="0" borderId="0" xfId="75" applyNumberFormat="1" applyFont="1" applyFill="1" applyBorder="1" applyAlignment="1"/>
    <xf numFmtId="182" fontId="44" fillId="0" borderId="0" xfId="75" applyNumberFormat="1" applyFont="1" applyFill="1" applyBorder="1" applyAlignment="1">
      <alignment horizontal="center"/>
    </xf>
    <xf numFmtId="182" fontId="44" fillId="0" borderId="0" xfId="75" applyNumberFormat="1" applyFont="1" applyFill="1" applyBorder="1" applyAlignment="1"/>
    <xf numFmtId="0" fontId="44" fillId="0" borderId="0" xfId="75" applyNumberFormat="1" applyFont="1" applyBorder="1" applyAlignment="1">
      <alignment horizontal="center" vertical="center"/>
    </xf>
    <xf numFmtId="0" fontId="44" fillId="0" borderId="0" xfId="75" applyNumberFormat="1" applyFont="1" applyBorder="1" applyAlignment="1">
      <alignment horizontal="center"/>
    </xf>
    <xf numFmtId="182" fontId="45" fillId="0" borderId="0" xfId="0" applyNumberFormat="1" applyFont="1" applyAlignment="1">
      <alignment horizontal="center" vertical="center"/>
    </xf>
    <xf numFmtId="182" fontId="45" fillId="0" borderId="0" xfId="0" applyNumberFormat="1" applyFont="1"/>
    <xf numFmtId="182" fontId="44" fillId="35" borderId="0" xfId="75" applyNumberFormat="1" applyFont="1" applyFill="1" applyBorder="1" applyAlignment="1">
      <alignment horizontal="center" vertical="center"/>
    </xf>
    <xf numFmtId="182" fontId="44" fillId="35" borderId="0" xfId="75" applyNumberFormat="1" applyFont="1" applyFill="1" applyBorder="1" applyAlignment="1"/>
    <xf numFmtId="176" fontId="45" fillId="0" borderId="0" xfId="0" applyNumberFormat="1" applyFont="1"/>
    <xf numFmtId="168" fontId="47" fillId="0" borderId="0" xfId="75" applyNumberFormat="1" applyFont="1"/>
    <xf numFmtId="193" fontId="44" fillId="0" borderId="0" xfId="75" applyNumberFormat="1" applyFont="1" applyFill="1" applyBorder="1" applyAlignment="1">
      <alignment horizontal="center"/>
    </xf>
    <xf numFmtId="0" fontId="44" fillId="0" borderId="0" xfId="75" applyNumberFormat="1" applyFont="1" applyFill="1" applyBorder="1" applyAlignment="1">
      <alignment horizontal="center"/>
    </xf>
    <xf numFmtId="0" fontId="45" fillId="0" borderId="0" xfId="75" applyNumberFormat="1" applyFont="1" applyFill="1" applyBorder="1" applyAlignment="1">
      <alignment horizontal="center"/>
    </xf>
    <xf numFmtId="182" fontId="45" fillId="0" borderId="0" xfId="75" applyNumberFormat="1" applyFont="1" applyBorder="1" applyAlignment="1">
      <alignment horizontal="center"/>
    </xf>
    <xf numFmtId="0" fontId="51" fillId="0" borderId="0" xfId="75" applyNumberFormat="1" applyFont="1" applyFill="1" applyBorder="1" applyAlignment="1">
      <alignment horizontal="center"/>
    </xf>
    <xf numFmtId="0" fontId="53" fillId="0" borderId="0" xfId="75" applyNumberFormat="1" applyFont="1" applyFill="1" applyBorder="1" applyAlignment="1">
      <alignment horizontal="center"/>
    </xf>
    <xf numFmtId="167" fontId="51" fillId="0" borderId="0" xfId="75" applyNumberFormat="1" applyFont="1" applyFill="1" applyBorder="1" applyAlignment="1">
      <alignment horizontal="center"/>
    </xf>
    <xf numFmtId="2" fontId="53" fillId="0" borderId="0" xfId="75" applyNumberFormat="1" applyFont="1" applyFill="1" applyBorder="1" applyAlignment="1">
      <alignment horizontal="center"/>
    </xf>
    <xf numFmtId="190" fontId="44" fillId="0" borderId="0" xfId="75" applyNumberFormat="1" applyFont="1" applyBorder="1" applyAlignment="1">
      <alignment horizontal="center"/>
    </xf>
    <xf numFmtId="190" fontId="45" fillId="0" borderId="0" xfId="75" applyNumberFormat="1" applyFont="1" applyBorder="1" applyAlignment="1">
      <alignment horizontal="center"/>
    </xf>
    <xf numFmtId="193" fontId="44" fillId="0" borderId="0" xfId="75" applyNumberFormat="1" applyFont="1" applyBorder="1" applyAlignment="1">
      <alignment horizontal="center"/>
    </xf>
    <xf numFmtId="169" fontId="44" fillId="0" borderId="0" xfId="75" applyNumberFormat="1" applyFont="1" applyFill="1" applyBorder="1" applyAlignment="1">
      <alignment horizontal="center"/>
    </xf>
    <xf numFmtId="180" fontId="45" fillId="0" borderId="0" xfId="75" applyNumberFormat="1" applyFont="1" applyBorder="1" applyAlignment="1"/>
    <xf numFmtId="182" fontId="45" fillId="0" borderId="0" xfId="75" applyNumberFormat="1" applyFont="1" applyFill="1" applyBorder="1" applyAlignment="1">
      <alignment horizontal="center"/>
    </xf>
    <xf numFmtId="180" fontId="45" fillId="0" borderId="0" xfId="75" applyNumberFormat="1" applyFont="1" applyFill="1" applyBorder="1" applyAlignment="1"/>
    <xf numFmtId="196" fontId="44" fillId="0" borderId="0" xfId="75" applyNumberFormat="1" applyFont="1" applyBorder="1" applyAlignment="1">
      <alignment horizontal="center"/>
    </xf>
    <xf numFmtId="195" fontId="45" fillId="0" borderId="0" xfId="75" applyNumberFormat="1" applyFont="1" applyBorder="1" applyAlignment="1">
      <alignment horizontal="center"/>
    </xf>
    <xf numFmtId="190" fontId="45" fillId="0" borderId="0" xfId="75" applyNumberFormat="1" applyFont="1" applyBorder="1" applyAlignment="1"/>
    <xf numFmtId="182" fontId="44" fillId="0" borderId="0" xfId="0" applyNumberFormat="1" applyFont="1" applyAlignment="1">
      <alignment horizontal="center"/>
    </xf>
    <xf numFmtId="2" fontId="45" fillId="0" borderId="0" xfId="50" applyNumberFormat="1" applyFont="1" applyFill="1" applyBorder="1" applyAlignment="1">
      <alignment horizontal="center"/>
    </xf>
    <xf numFmtId="169" fontId="25" fillId="0" borderId="0" xfId="0" applyNumberFormat="1" applyFont="1" applyAlignment="1">
      <alignment horizontal="center" vertical="center"/>
    </xf>
    <xf numFmtId="196" fontId="45" fillId="0" borderId="0" xfId="75" applyNumberFormat="1" applyFont="1" applyBorder="1" applyAlignment="1">
      <alignment horizontal="center"/>
    </xf>
    <xf numFmtId="0" fontId="44" fillId="37" borderId="0" xfId="75" applyNumberFormat="1" applyFont="1" applyFill="1" applyBorder="1" applyAlignment="1">
      <alignment horizontal="center"/>
    </xf>
    <xf numFmtId="0" fontId="45" fillId="37" borderId="0" xfId="75" applyNumberFormat="1" applyFont="1" applyFill="1" applyBorder="1" applyAlignment="1">
      <alignment horizontal="center"/>
    </xf>
    <xf numFmtId="169" fontId="44" fillId="37" borderId="0" xfId="75" applyNumberFormat="1" applyFont="1" applyFill="1" applyBorder="1" applyAlignment="1">
      <alignment horizontal="center"/>
    </xf>
    <xf numFmtId="169" fontId="41" fillId="0" borderId="0" xfId="0" applyNumberFormat="1" applyFont="1" applyAlignment="1">
      <alignment horizontal="center" vertical="center"/>
    </xf>
    <xf numFmtId="2" fontId="44" fillId="0" borderId="0" xfId="50" applyNumberFormat="1" applyFont="1" applyFill="1" applyBorder="1" applyAlignment="1">
      <alignment horizontal="center"/>
    </xf>
    <xf numFmtId="2" fontId="45" fillId="0" borderId="0" xfId="48" applyNumberFormat="1" applyFont="1" applyBorder="1" applyAlignment="1">
      <alignment horizontal="center"/>
    </xf>
    <xf numFmtId="169" fontId="44" fillId="0" borderId="0" xfId="0" applyNumberFormat="1" applyFont="1" applyAlignment="1">
      <alignment horizontal="center"/>
    </xf>
    <xf numFmtId="169" fontId="44" fillId="0" borderId="0" xfId="75" applyNumberFormat="1" applyFont="1" applyBorder="1" applyAlignment="1">
      <alignment horizontal="center"/>
    </xf>
    <xf numFmtId="0" fontId="45" fillId="37" borderId="0" xfId="0" applyFont="1" applyFill="1" applyAlignment="1">
      <alignment horizontal="centerContinuous" wrapText="1"/>
    </xf>
    <xf numFmtId="0" fontId="47" fillId="0" borderId="0" xfId="48" applyFont="1" applyBorder="1" applyAlignment="1"/>
    <xf numFmtId="167" fontId="45" fillId="0" borderId="0" xfId="0" applyNumberFormat="1" applyFont="1" applyAlignment="1">
      <alignment horizontal="right"/>
    </xf>
    <xf numFmtId="180" fontId="45" fillId="0" borderId="0" xfId="75" applyNumberFormat="1" applyFont="1" applyBorder="1" applyAlignment="1">
      <alignment horizontal="right"/>
    </xf>
    <xf numFmtId="181" fontId="44" fillId="2" borderId="0" xfId="75" applyNumberFormat="1" applyFont="1" applyFill="1" applyBorder="1" applyAlignment="1"/>
    <xf numFmtId="176" fontId="44" fillId="0" borderId="0" xfId="75" applyNumberFormat="1" applyFont="1" applyFill="1" applyBorder="1" applyAlignment="1"/>
    <xf numFmtId="167" fontId="45" fillId="0" borderId="0" xfId="0" applyNumberFormat="1" applyFont="1" applyAlignment="1">
      <alignment horizontal="right" vertical="center"/>
    </xf>
    <xf numFmtId="189" fontId="45" fillId="0" borderId="0" xfId="75" applyNumberFormat="1" applyFont="1" applyBorder="1" applyAlignment="1">
      <alignment horizontal="right"/>
    </xf>
    <xf numFmtId="192" fontId="45" fillId="0" borderId="0" xfId="75" applyNumberFormat="1" applyFont="1" applyBorder="1" applyAlignment="1"/>
    <xf numFmtId="181" fontId="44" fillId="0" borderId="0" xfId="75" applyNumberFormat="1" applyFont="1" applyFill="1" applyBorder="1" applyAlignment="1"/>
    <xf numFmtId="49" fontId="45" fillId="0" borderId="0" xfId="75" applyNumberFormat="1" applyFont="1" applyBorder="1" applyAlignment="1">
      <alignment horizontal="center"/>
    </xf>
    <xf numFmtId="0" fontId="37" fillId="0" borderId="0" xfId="0" applyFont="1"/>
    <xf numFmtId="0" fontId="45" fillId="0" borderId="0" xfId="0" applyFont="1" applyAlignment="1">
      <alignment horizontal="left" wrapText="1"/>
    </xf>
    <xf numFmtId="0" fontId="45" fillId="0" borderId="0" xfId="0" applyFont="1" applyAlignment="1">
      <alignment horizontal="centerContinuous" vertical="center" wrapText="1"/>
    </xf>
    <xf numFmtId="183" fontId="45" fillId="0" borderId="0" xfId="0" applyNumberFormat="1" applyFont="1"/>
    <xf numFmtId="3" fontId="45" fillId="0" borderId="0" xfId="0" applyNumberFormat="1" applyFont="1" applyAlignment="1">
      <alignment horizontal="centerContinuous"/>
    </xf>
    <xf numFmtId="3" fontId="44" fillId="2" borderId="0" xfId="75" applyNumberFormat="1" applyFont="1" applyFill="1" applyBorder="1" applyAlignment="1"/>
    <xf numFmtId="1" fontId="45" fillId="0" borderId="0" xfId="0" applyNumberFormat="1" applyFont="1"/>
    <xf numFmtId="0" fontId="52" fillId="0" borderId="0" xfId="0" applyFont="1"/>
    <xf numFmtId="167" fontId="45" fillId="0" borderId="0" xfId="75" applyNumberFormat="1" applyFont="1" applyBorder="1" applyAlignment="1">
      <alignment horizontal="center" vertical="center"/>
    </xf>
    <xf numFmtId="167" fontId="45" fillId="0" borderId="0" xfId="48" applyNumberFormat="1" applyFont="1" applyFill="1" applyBorder="1" applyAlignment="1">
      <alignment horizontal="center" vertical="center"/>
    </xf>
    <xf numFmtId="2" fontId="45" fillId="0" borderId="0" xfId="0" applyNumberFormat="1" applyFont="1" applyAlignment="1">
      <alignment horizontal="center"/>
    </xf>
    <xf numFmtId="167" fontId="48" fillId="0" borderId="0" xfId="48" applyNumberFormat="1" applyFont="1" applyBorder="1" applyAlignment="1">
      <alignment horizontal="right"/>
    </xf>
    <xf numFmtId="167" fontId="47" fillId="0" borderId="0" xfId="0" applyNumberFormat="1" applyFont="1" applyAlignment="1">
      <alignment horizontal="center" vertical="center" wrapText="1"/>
    </xf>
    <xf numFmtId="169" fontId="47" fillId="34" borderId="0" xfId="0" applyNumberFormat="1" applyFont="1" applyFill="1"/>
    <xf numFmtId="169" fontId="45" fillId="0" borderId="0" xfId="0" applyNumberFormat="1" applyFont="1" applyAlignment="1">
      <alignment horizontal="center" vertical="center"/>
    </xf>
    <xf numFmtId="167" fontId="47" fillId="34" borderId="0" xfId="0" applyNumberFormat="1" applyFont="1" applyFill="1"/>
    <xf numFmtId="167" fontId="45" fillId="0" borderId="0" xfId="50" applyNumberFormat="1" applyFont="1" applyFill="1" applyBorder="1" applyAlignment="1">
      <alignment horizontal="center" vertical="center"/>
    </xf>
    <xf numFmtId="167" fontId="45" fillId="0" borderId="0" xfId="0" applyNumberFormat="1" applyFont="1"/>
    <xf numFmtId="178" fontId="47" fillId="0" borderId="0" xfId="0" applyNumberFormat="1" applyFont="1"/>
    <xf numFmtId="0" fontId="45" fillId="35" borderId="2" xfId="0" applyFont="1" applyFill="1" applyBorder="1" applyAlignment="1">
      <alignment horizontal="center" vertical="center" wrapText="1"/>
    </xf>
    <xf numFmtId="0" fontId="45" fillId="0" borderId="6" xfId="0" applyFont="1" applyBorder="1"/>
    <xf numFmtId="0" fontId="45" fillId="0" borderId="7" xfId="0" applyFont="1" applyBorder="1"/>
    <xf numFmtId="0" fontId="45" fillId="0" borderId="8" xfId="0" applyFont="1" applyBorder="1" applyAlignment="1">
      <alignment horizontal="right"/>
    </xf>
    <xf numFmtId="0" fontId="45" fillId="0" borderId="9" xfId="0" applyFont="1" applyBorder="1" applyAlignment="1">
      <alignment horizontal="left" wrapText="1"/>
    </xf>
    <xf numFmtId="0" fontId="45" fillId="35" borderId="5" xfId="0" applyFont="1" applyFill="1" applyBorder="1" applyAlignment="1">
      <alignment horizontal="center" wrapText="1"/>
    </xf>
    <xf numFmtId="0" fontId="45" fillId="35" borderId="5" xfId="0" applyFont="1" applyFill="1" applyBorder="1" applyAlignment="1">
      <alignment wrapText="1"/>
    </xf>
    <xf numFmtId="0" fontId="45" fillId="35" borderId="7" xfId="0" applyFont="1" applyFill="1" applyBorder="1" applyAlignment="1">
      <alignment horizontal="center" vertical="center" wrapText="1"/>
    </xf>
    <xf numFmtId="9" fontId="45" fillId="35" borderId="10" xfId="75" applyFont="1" applyFill="1" applyBorder="1" applyAlignment="1">
      <alignment horizontal="center" vertical="center" wrapText="1"/>
    </xf>
    <xf numFmtId="0" fontId="45" fillId="35" borderId="11" xfId="0" applyFont="1" applyFill="1" applyBorder="1" applyAlignment="1">
      <alignment horizontal="center" vertical="center" wrapText="1"/>
    </xf>
    <xf numFmtId="4" fontId="45" fillId="0" borderId="6" xfId="0" applyNumberFormat="1" applyFont="1" applyBorder="1" applyAlignment="1">
      <alignment horizontal="center"/>
    </xf>
    <xf numFmtId="3" fontId="45" fillId="0" borderId="6" xfId="64" applyNumberFormat="1" applyFont="1" applyBorder="1" applyAlignment="1">
      <alignment horizontal="center"/>
    </xf>
    <xf numFmtId="3" fontId="45" fillId="0" borderId="6" xfId="48" applyNumberFormat="1" applyFont="1" applyFill="1" applyBorder="1" applyAlignment="1">
      <alignment horizontal="center"/>
    </xf>
    <xf numFmtId="3" fontId="45" fillId="0" borderId="6" xfId="50" applyNumberFormat="1" applyFont="1" applyFill="1" applyBorder="1" applyAlignment="1">
      <alignment horizontal="center"/>
    </xf>
    <xf numFmtId="4" fontId="45" fillId="0" borderId="6" xfId="50" applyNumberFormat="1" applyFont="1" applyFill="1" applyBorder="1" applyAlignment="1">
      <alignment horizontal="center"/>
    </xf>
    <xf numFmtId="0" fontId="44" fillId="2" borderId="12" xfId="0" applyFont="1" applyFill="1" applyBorder="1" applyAlignment="1">
      <alignment horizontal="center" wrapText="1"/>
    </xf>
    <xf numFmtId="0" fontId="44" fillId="0" borderId="12" xfId="0" applyFont="1" applyBorder="1" applyAlignment="1">
      <alignment horizontal="center" vertical="center" wrapText="1"/>
    </xf>
    <xf numFmtId="0" fontId="44" fillId="2" borderId="12" xfId="0" applyFont="1" applyFill="1" applyBorder="1" applyAlignment="1">
      <alignment horizontal="left" wrapText="1"/>
    </xf>
    <xf numFmtId="172" fontId="44" fillId="34" borderId="0" xfId="48" applyNumberFormat="1" applyFont="1" applyFill="1" applyBorder="1" applyAlignment="1"/>
    <xf numFmtId="168" fontId="45" fillId="34" borderId="0" xfId="48" applyNumberFormat="1" applyFont="1" applyFill="1" applyBorder="1" applyAlignment="1">
      <alignment horizontal="center"/>
    </xf>
    <xf numFmtId="0" fontId="44" fillId="34" borderId="0" xfId="0" applyFont="1" applyFill="1"/>
    <xf numFmtId="172" fontId="45" fillId="0" borderId="0" xfId="48" applyNumberFormat="1" applyFont="1" applyBorder="1" applyAlignment="1">
      <alignment horizontal="center"/>
    </xf>
    <xf numFmtId="172" fontId="48" fillId="0" borderId="0" xfId="48" applyNumberFormat="1" applyFont="1" applyBorder="1" applyAlignment="1"/>
    <xf numFmtId="168" fontId="44" fillId="0" borderId="0" xfId="0" applyNumberFormat="1" applyFont="1"/>
    <xf numFmtId="168" fontId="48" fillId="0" borderId="0" xfId="48" applyNumberFormat="1" applyFont="1" applyFill="1" applyBorder="1" applyAlignment="1">
      <alignment horizontal="center"/>
    </xf>
    <xf numFmtId="168" fontId="48" fillId="0" borderId="0" xfId="48" applyNumberFormat="1" applyFont="1" applyFill="1" applyBorder="1"/>
    <xf numFmtId="172" fontId="49" fillId="2" borderId="0" xfId="48" applyNumberFormat="1" applyFont="1" applyFill="1" applyBorder="1" applyAlignment="1"/>
    <xf numFmtId="168" fontId="49" fillId="2" borderId="0" xfId="48" applyNumberFormat="1" applyFont="1" applyFill="1" applyBorder="1" applyAlignment="1">
      <alignment horizontal="center"/>
    </xf>
    <xf numFmtId="168" fontId="47" fillId="0" borderId="0" xfId="0" applyNumberFormat="1" applyFont="1"/>
    <xf numFmtId="3" fontId="44" fillId="0" borderId="0" xfId="0" applyNumberFormat="1" applyFont="1" applyProtection="1">
      <protection locked="0"/>
    </xf>
    <xf numFmtId="9" fontId="45" fillId="0" borderId="0" xfId="75" applyFont="1" applyFill="1" applyBorder="1" applyAlignment="1">
      <alignment horizontal="center"/>
    </xf>
    <xf numFmtId="172" fontId="44" fillId="0" borderId="0" xfId="50" applyNumberFormat="1" applyFont="1" applyBorder="1" applyAlignment="1"/>
    <xf numFmtId="9" fontId="45" fillId="0" borderId="0" xfId="50" applyNumberFormat="1" applyFont="1" applyFill="1" applyBorder="1" applyAlignment="1">
      <alignment horizontal="center"/>
    </xf>
    <xf numFmtId="10" fontId="45" fillId="0" borderId="0" xfId="48" applyNumberFormat="1" applyFont="1" applyFill="1" applyBorder="1" applyAlignment="1">
      <alignment horizontal="center"/>
    </xf>
    <xf numFmtId="10" fontId="44" fillId="0" borderId="0" xfId="0" applyNumberFormat="1" applyFont="1"/>
    <xf numFmtId="168" fontId="45" fillId="0" borderId="0" xfId="75" applyNumberFormat="1" applyFont="1" applyAlignment="1">
      <alignment horizontal="center" vertical="center"/>
    </xf>
    <xf numFmtId="168" fontId="45" fillId="0" borderId="0" xfId="75" applyNumberFormat="1" applyFont="1" applyAlignment="1">
      <alignment horizontal="center" vertical="center" wrapText="1"/>
    </xf>
    <xf numFmtId="0" fontId="44" fillId="35" borderId="2" xfId="0" applyFont="1" applyFill="1" applyBorder="1" applyAlignment="1">
      <alignment horizontal="center" vertical="center" wrapText="1"/>
    </xf>
    <xf numFmtId="0" fontId="45" fillId="34" borderId="13" xfId="0" applyFont="1" applyFill="1" applyBorder="1"/>
    <xf numFmtId="0" fontId="45" fillId="34" borderId="9" xfId="0" applyFont="1" applyFill="1" applyBorder="1"/>
    <xf numFmtId="0" fontId="45" fillId="34" borderId="14" xfId="0" applyFont="1" applyFill="1" applyBorder="1"/>
    <xf numFmtId="0" fontId="44" fillId="0" borderId="2" xfId="0" applyFont="1" applyBorder="1"/>
    <xf numFmtId="0" fontId="45" fillId="0" borderId="0" xfId="64" applyFont="1"/>
    <xf numFmtId="3" fontId="45" fillId="0" borderId="6" xfId="48" applyNumberFormat="1" applyFont="1" applyBorder="1" applyAlignment="1">
      <alignment horizontal="center"/>
    </xf>
    <xf numFmtId="1" fontId="45" fillId="0" borderId="0" xfId="75" applyNumberFormat="1" applyFont="1" applyBorder="1" applyAlignment="1">
      <alignment horizontal="center"/>
    </xf>
    <xf numFmtId="1" fontId="45" fillId="34" borderId="0" xfId="75" applyNumberFormat="1" applyFont="1" applyFill="1" applyBorder="1" applyAlignment="1">
      <alignment horizontal="center"/>
    </xf>
    <xf numFmtId="1" fontId="45" fillId="0" borderId="0" xfId="0" applyNumberFormat="1" applyFont="1" applyAlignment="1">
      <alignment horizontal="center"/>
    </xf>
    <xf numFmtId="0" fontId="45" fillId="0" borderId="0" xfId="0" applyFont="1" applyAlignment="1">
      <alignment horizontal="left" vertical="center" wrapText="1"/>
    </xf>
    <xf numFmtId="0" fontId="48" fillId="0" borderId="0" xfId="0" applyFont="1" applyAlignment="1">
      <alignment horizontal="left" vertical="center"/>
    </xf>
    <xf numFmtId="179" fontId="45" fillId="0" borderId="0" xfId="0" applyNumberFormat="1" applyFont="1" applyAlignment="1">
      <alignment horizontal="left"/>
    </xf>
    <xf numFmtId="179" fontId="44" fillId="0" borderId="0" xfId="0" applyNumberFormat="1" applyFont="1" applyAlignment="1">
      <alignment horizontal="left"/>
    </xf>
    <xf numFmtId="179" fontId="44" fillId="35" borderId="0" xfId="0" applyNumberFormat="1" applyFont="1" applyFill="1" applyAlignment="1">
      <alignment horizontal="center" vertical="center" wrapText="1"/>
    </xf>
    <xf numFmtId="49" fontId="44" fillId="35" borderId="0" xfId="0" quotePrefix="1" applyNumberFormat="1" applyFont="1" applyFill="1" applyAlignment="1">
      <alignment horizontal="center" vertical="center" wrapText="1"/>
    </xf>
    <xf numFmtId="179" fontId="44" fillId="0" borderId="0" xfId="0" applyNumberFormat="1" applyFont="1"/>
    <xf numFmtId="179" fontId="44" fillId="35" borderId="0" xfId="0" applyNumberFormat="1" applyFont="1" applyFill="1" applyAlignment="1">
      <alignment horizontal="left"/>
    </xf>
    <xf numFmtId="179" fontId="47" fillId="0" borderId="0" xfId="0" applyNumberFormat="1" applyFont="1"/>
    <xf numFmtId="184" fontId="45" fillId="0" borderId="0" xfId="48" applyNumberFormat="1" applyFont="1" applyBorder="1" applyAlignment="1"/>
    <xf numFmtId="184" fontId="45" fillId="34" borderId="0" xfId="48" applyNumberFormat="1" applyFont="1" applyFill="1" applyBorder="1" applyAlignment="1"/>
    <xf numFmtId="171" fontId="45" fillId="0" borderId="0" xfId="48" applyNumberFormat="1" applyFont="1" applyBorder="1" applyAlignment="1">
      <alignment horizontal="right"/>
    </xf>
    <xf numFmtId="0" fontId="47" fillId="0" borderId="0" xfId="0" applyFont="1" applyAlignment="1">
      <alignment vertical="center"/>
    </xf>
    <xf numFmtId="0" fontId="44" fillId="35" borderId="19" xfId="0" applyFont="1" applyFill="1" applyBorder="1" applyAlignment="1">
      <alignment horizontal="center" vertical="center" wrapText="1"/>
    </xf>
    <xf numFmtId="4" fontId="45" fillId="0" borderId="0" xfId="0" applyNumberFormat="1" applyFont="1"/>
    <xf numFmtId="4" fontId="45" fillId="0" borderId="15" xfId="0" applyNumberFormat="1" applyFont="1" applyBorder="1"/>
    <xf numFmtId="0" fontId="45" fillId="0" borderId="8" xfId="0" applyFont="1" applyBorder="1"/>
    <xf numFmtId="0" fontId="45" fillId="0" borderId="15" xfId="0" applyFont="1" applyBorder="1"/>
    <xf numFmtId="2" fontId="45" fillId="0" borderId="8" xfId="0" applyNumberFormat="1" applyFont="1" applyBorder="1"/>
    <xf numFmtId="2" fontId="45" fillId="0" borderId="15" xfId="0" applyNumberFormat="1" applyFont="1" applyBorder="1"/>
    <xf numFmtId="169" fontId="45" fillId="0" borderId="8" xfId="0" applyNumberFormat="1" applyFont="1" applyBorder="1"/>
    <xf numFmtId="169" fontId="45" fillId="0" borderId="15" xfId="0" applyNumberFormat="1" applyFont="1" applyBorder="1"/>
    <xf numFmtId="167" fontId="45" fillId="0" borderId="8" xfId="0" applyNumberFormat="1" applyFont="1" applyBorder="1"/>
    <xf numFmtId="167" fontId="45" fillId="0" borderId="15" xfId="0" applyNumberFormat="1" applyFont="1" applyBorder="1"/>
    <xf numFmtId="167" fontId="45" fillId="0" borderId="17" xfId="0" applyNumberFormat="1" applyFont="1" applyBorder="1"/>
    <xf numFmtId="167" fontId="45" fillId="0" borderId="16" xfId="0" applyNumberFormat="1" applyFont="1" applyBorder="1"/>
    <xf numFmtId="167" fontId="45" fillId="0" borderId="11" xfId="0" applyNumberFormat="1" applyFont="1" applyBorder="1"/>
    <xf numFmtId="0" fontId="45" fillId="0" borderId="9" xfId="0" applyFont="1" applyBorder="1"/>
    <xf numFmtId="0" fontId="45" fillId="0" borderId="13" xfId="0" applyFont="1" applyBorder="1"/>
    <xf numFmtId="0" fontId="45" fillId="0" borderId="14" xfId="0" applyFont="1" applyBorder="1"/>
    <xf numFmtId="167" fontId="45" fillId="0" borderId="8" xfId="0" applyNumberFormat="1" applyFont="1" applyBorder="1" applyAlignment="1">
      <alignment horizontal="right" indent="1"/>
    </xf>
    <xf numFmtId="167" fontId="45" fillId="0" borderId="8" xfId="0" applyNumberFormat="1" applyFont="1" applyBorder="1" applyAlignment="1">
      <alignment horizontal="right"/>
    </xf>
    <xf numFmtId="167" fontId="45" fillId="0" borderId="15" xfId="0" applyNumberFormat="1" applyFont="1" applyBorder="1" applyAlignment="1">
      <alignment horizontal="right"/>
    </xf>
    <xf numFmtId="167" fontId="45" fillId="0" borderId="0" xfId="48" applyNumberFormat="1" applyFont="1" applyFill="1" applyBorder="1" applyAlignment="1">
      <alignment horizontal="right"/>
    </xf>
    <xf numFmtId="167" fontId="45" fillId="0" borderId="8" xfId="48" applyNumberFormat="1" applyFont="1" applyFill="1" applyBorder="1" applyAlignment="1">
      <alignment horizontal="right"/>
    </xf>
    <xf numFmtId="167" fontId="45" fillId="0" borderId="15" xfId="48" applyNumberFormat="1" applyFont="1" applyFill="1" applyBorder="1" applyAlignment="1">
      <alignment horizontal="right"/>
    </xf>
    <xf numFmtId="0" fontId="44" fillId="35" borderId="0" xfId="0" applyFont="1" applyFill="1" applyAlignment="1">
      <alignment horizontal="center" vertical="center"/>
    </xf>
    <xf numFmtId="185" fontId="45" fillId="0" borderId="0" xfId="48" applyNumberFormat="1" applyFont="1" applyBorder="1" applyAlignment="1">
      <alignment horizontal="center"/>
    </xf>
    <xf numFmtId="185" fontId="45" fillId="34" borderId="0" xfId="48" applyNumberFormat="1" applyFont="1" applyFill="1" applyBorder="1" applyAlignment="1">
      <alignment horizontal="center"/>
    </xf>
    <xf numFmtId="3" fontId="45" fillId="0" borderId="6" xfId="67" applyNumberFormat="1" applyFont="1" applyBorder="1" applyAlignment="1">
      <alignment horizontal="center"/>
    </xf>
    <xf numFmtId="172" fontId="44" fillId="0" borderId="0" xfId="48" applyNumberFormat="1" applyFont="1" applyBorder="1" applyAlignment="1">
      <alignment horizontal="center"/>
    </xf>
    <xf numFmtId="172" fontId="48" fillId="0" borderId="0" xfId="48" applyNumberFormat="1" applyFont="1" applyBorder="1" applyAlignment="1">
      <alignment horizontal="center"/>
    </xf>
    <xf numFmtId="168" fontId="44" fillId="0" borderId="0" xfId="0" applyNumberFormat="1" applyFont="1" applyAlignment="1">
      <alignment horizontal="center"/>
    </xf>
    <xf numFmtId="169" fontId="45" fillId="0" borderId="6" xfId="67" applyNumberFormat="1" applyFont="1" applyBorder="1" applyAlignment="1">
      <alignment horizontal="center"/>
    </xf>
    <xf numFmtId="167" fontId="6" fillId="37" borderId="0" xfId="48" applyNumberFormat="1" applyFont="1" applyFill="1" applyAlignment="1">
      <alignment horizontal="center" vertical="center"/>
    </xf>
    <xf numFmtId="0" fontId="23" fillId="0" borderId="0" xfId="0" applyFont="1" applyAlignment="1">
      <alignment vertical="center"/>
    </xf>
    <xf numFmtId="3" fontId="25" fillId="0" borderId="0" xfId="0" applyNumberFormat="1" applyFont="1" applyAlignment="1">
      <alignment horizontal="center" vertical="center"/>
    </xf>
    <xf numFmtId="180" fontId="54" fillId="0" borderId="0" xfId="75" applyNumberFormat="1" applyFont="1" applyBorder="1" applyAlignment="1"/>
    <xf numFmtId="167" fontId="45" fillId="0" borderId="6" xfId="0" applyNumberFormat="1" applyFont="1" applyBorder="1" applyAlignment="1">
      <alignment horizontal="center"/>
    </xf>
    <xf numFmtId="2" fontId="45" fillId="0" borderId="6" xfId="0" applyNumberFormat="1" applyFont="1" applyBorder="1" applyAlignment="1">
      <alignment horizontal="center"/>
    </xf>
    <xf numFmtId="167" fontId="45" fillId="0" borderId="0" xfId="75" applyNumberFormat="1" applyFont="1" applyFill="1" applyBorder="1"/>
    <xf numFmtId="167" fontId="45" fillId="0" borderId="15" xfId="75" applyNumberFormat="1" applyFont="1" applyFill="1" applyBorder="1"/>
    <xf numFmtId="167" fontId="45" fillId="0" borderId="8" xfId="75" applyNumberFormat="1" applyFont="1" applyFill="1" applyBorder="1"/>
    <xf numFmtId="4" fontId="45" fillId="0" borderId="0" xfId="0" applyNumberFormat="1" applyFont="1" applyAlignment="1">
      <alignment horizontal="center"/>
    </xf>
    <xf numFmtId="3" fontId="45" fillId="0" borderId="6" xfId="0" applyNumberFormat="1" applyFont="1" applyBorder="1" applyAlignment="1">
      <alignment horizontal="center"/>
    </xf>
    <xf numFmtId="0" fontId="45" fillId="0" borderId="6" xfId="0" applyFont="1" applyBorder="1" applyAlignment="1">
      <alignment horizontal="center"/>
    </xf>
    <xf numFmtId="0" fontId="45" fillId="0" borderId="7" xfId="0" applyFont="1" applyBorder="1" applyAlignment="1">
      <alignment horizontal="center"/>
    </xf>
    <xf numFmtId="3" fontId="44" fillId="35" borderId="0" xfId="0" applyNumberFormat="1" applyFont="1" applyFill="1" applyAlignment="1">
      <alignment horizontal="center" vertical="center"/>
    </xf>
    <xf numFmtId="0" fontId="20" fillId="0" borderId="0" xfId="0" applyFont="1" applyAlignment="1">
      <alignment horizontal="right" vertical="center"/>
    </xf>
    <xf numFmtId="3" fontId="20" fillId="0" borderId="0" xfId="0" applyNumberFormat="1" applyFont="1" applyAlignment="1">
      <alignment horizontal="right" vertical="center"/>
    </xf>
    <xf numFmtId="0" fontId="20" fillId="0" borderId="0" xfId="0" applyFont="1" applyAlignment="1">
      <alignment horizontal="center"/>
    </xf>
    <xf numFmtId="172" fontId="5" fillId="0" borderId="0" xfId="48" applyNumberFormat="1" applyFont="1" applyFill="1" applyBorder="1" applyAlignment="1"/>
    <xf numFmtId="9" fontId="6" fillId="0" borderId="0" xfId="48" applyNumberFormat="1" applyFont="1" applyFill="1" applyBorder="1" applyAlignment="1">
      <alignment horizontal="center"/>
    </xf>
    <xf numFmtId="168" fontId="6" fillId="0" borderId="0" xfId="48" applyNumberFormat="1" applyFont="1" applyFill="1" applyBorder="1" applyAlignment="1">
      <alignment horizontal="center"/>
    </xf>
    <xf numFmtId="2" fontId="45" fillId="0" borderId="7" xfId="0" applyNumberFormat="1" applyFont="1" applyBorder="1" applyAlignment="1">
      <alignment horizontal="center"/>
    </xf>
    <xf numFmtId="10" fontId="45" fillId="0" borderId="7" xfId="75" applyNumberFormat="1" applyFont="1" applyFill="1" applyBorder="1" applyAlignment="1">
      <alignment horizontal="center"/>
    </xf>
    <xf numFmtId="2" fontId="54" fillId="0" borderId="6" xfId="67" applyNumberFormat="1" applyFont="1" applyBorder="1" applyAlignment="1">
      <alignment horizontal="center"/>
    </xf>
    <xf numFmtId="0" fontId="54" fillId="0" borderId="6" xfId="0" applyFont="1" applyBorder="1" applyAlignment="1">
      <alignment horizontal="center"/>
    </xf>
    <xf numFmtId="178" fontId="55" fillId="0" borderId="0" xfId="48" applyNumberFormat="1" applyFont="1" applyBorder="1" applyAlignment="1">
      <alignment horizontal="right"/>
    </xf>
    <xf numFmtId="184" fontId="42" fillId="0" borderId="0" xfId="48" applyNumberFormat="1" applyFont="1" applyBorder="1" applyAlignment="1"/>
    <xf numFmtId="171" fontId="55" fillId="0" borderId="0" xfId="48" applyNumberFormat="1" applyFont="1" applyBorder="1" applyAlignment="1">
      <alignment horizontal="center"/>
    </xf>
    <xf numFmtId="167" fontId="54" fillId="0" borderId="0" xfId="0" applyNumberFormat="1" applyFont="1" applyAlignment="1">
      <alignment horizontal="center" vertical="center"/>
    </xf>
    <xf numFmtId="167" fontId="54" fillId="37" borderId="0" xfId="0" applyNumberFormat="1" applyFont="1" applyFill="1" applyAlignment="1">
      <alignment horizontal="center" vertical="center"/>
    </xf>
    <xf numFmtId="9" fontId="45" fillId="0" borderId="0" xfId="75" applyFont="1" applyAlignment="1">
      <alignment horizontal="center"/>
    </xf>
    <xf numFmtId="168" fontId="45" fillId="0" borderId="0" xfId="75" applyNumberFormat="1" applyFont="1" applyAlignment="1">
      <alignment horizontal="center"/>
    </xf>
    <xf numFmtId="167" fontId="45" fillId="0" borderId="8" xfId="0" applyNumberFormat="1" applyFont="1" applyBorder="1" applyAlignment="1">
      <alignment horizontal="center"/>
    </xf>
    <xf numFmtId="2" fontId="45" fillId="0" borderId="8" xfId="0" applyNumberFormat="1" applyFont="1" applyBorder="1" applyAlignment="1">
      <alignment horizontal="center"/>
    </xf>
    <xf numFmtId="167" fontId="45" fillId="0" borderId="15" xfId="75" applyNumberFormat="1" applyFont="1" applyFill="1" applyBorder="1" applyAlignment="1">
      <alignment horizontal="center"/>
    </xf>
    <xf numFmtId="167" fontId="45" fillId="0" borderId="8" xfId="75" applyNumberFormat="1" applyFont="1" applyFill="1" applyBorder="1" applyAlignment="1">
      <alignment horizontal="center"/>
    </xf>
    <xf numFmtId="0" fontId="6" fillId="0" borderId="0" xfId="0" applyFont="1"/>
    <xf numFmtId="167" fontId="51" fillId="37" borderId="0" xfId="0" applyNumberFormat="1" applyFont="1" applyFill="1" applyAlignment="1">
      <alignment horizontal="center" vertical="center"/>
    </xf>
    <xf numFmtId="177" fontId="45" fillId="0" borderId="0" xfId="48" applyNumberFormat="1" applyFont="1" applyBorder="1" applyAlignment="1">
      <alignment horizontal="center"/>
    </xf>
    <xf numFmtId="177" fontId="45" fillId="34" borderId="0" xfId="48" applyNumberFormat="1" applyFont="1" applyFill="1" applyBorder="1" applyAlignment="1">
      <alignment horizontal="center"/>
    </xf>
    <xf numFmtId="0" fontId="47" fillId="34" borderId="0" xfId="0" applyFont="1" applyFill="1" applyAlignment="1">
      <alignment horizontal="center"/>
    </xf>
    <xf numFmtId="177" fontId="45" fillId="0" borderId="0" xfId="48" applyNumberFormat="1" applyFont="1" applyFill="1" applyBorder="1" applyAlignment="1">
      <alignment horizontal="center"/>
    </xf>
    <xf numFmtId="177" fontId="45" fillId="0" borderId="0" xfId="48" applyNumberFormat="1" applyFont="1" applyFill="1" applyBorder="1" applyAlignment="1">
      <alignment horizontal="center" vertical="center"/>
    </xf>
    <xf numFmtId="177" fontId="45" fillId="0" borderId="0" xfId="50" applyNumberFormat="1" applyFont="1" applyFill="1" applyBorder="1" applyAlignment="1">
      <alignment horizontal="center" vertical="center"/>
    </xf>
    <xf numFmtId="177" fontId="45" fillId="0" borderId="0" xfId="50" applyNumberFormat="1" applyFont="1" applyFill="1" applyBorder="1" applyAlignment="1">
      <alignment horizontal="center"/>
    </xf>
    <xf numFmtId="177" fontId="45" fillId="0" borderId="0" xfId="52" applyNumberFormat="1" applyFont="1" applyFill="1" applyBorder="1" applyAlignment="1">
      <alignment horizontal="center"/>
    </xf>
    <xf numFmtId="185" fontId="48" fillId="0" borderId="0" xfId="48" applyNumberFormat="1" applyFont="1" applyBorder="1" applyAlignment="1">
      <alignment horizontal="center"/>
    </xf>
    <xf numFmtId="185" fontId="49" fillId="35" borderId="0" xfId="48" applyNumberFormat="1" applyFont="1" applyFill="1" applyBorder="1" applyAlignment="1">
      <alignment horizontal="center"/>
    </xf>
    <xf numFmtId="0" fontId="47" fillId="0" borderId="0" xfId="48" applyFont="1" applyBorder="1" applyAlignment="1">
      <alignment horizontal="center"/>
    </xf>
    <xf numFmtId="185" fontId="45" fillId="0" borderId="0" xfId="0" applyNumberFormat="1" applyFont="1" applyAlignment="1">
      <alignment horizontal="center" vertical="center"/>
    </xf>
    <xf numFmtId="185" fontId="47" fillId="0" borderId="0" xfId="0" applyNumberFormat="1" applyFont="1" applyAlignment="1">
      <alignment horizontal="center"/>
    </xf>
    <xf numFmtId="185" fontId="45" fillId="0" borderId="0" xfId="0" applyNumberFormat="1" applyFont="1" applyAlignment="1">
      <alignment horizontal="center"/>
    </xf>
    <xf numFmtId="185" fontId="45" fillId="37" borderId="0" xfId="0" applyNumberFormat="1" applyFont="1" applyFill="1" applyAlignment="1">
      <alignment horizontal="center"/>
    </xf>
    <xf numFmtId="185" fontId="45" fillId="0" borderId="0" xfId="48" applyNumberFormat="1" applyFont="1" applyFill="1" applyBorder="1" applyAlignment="1">
      <alignment horizontal="center"/>
    </xf>
    <xf numFmtId="185" fontId="45" fillId="0" borderId="0" xfId="50" applyNumberFormat="1" applyFont="1" applyFill="1" applyBorder="1" applyAlignment="1">
      <alignment horizontal="center"/>
    </xf>
    <xf numFmtId="185" fontId="45" fillId="0" borderId="0" xfId="48" applyNumberFormat="1" applyFont="1" applyAlignment="1">
      <alignment horizontal="center"/>
    </xf>
    <xf numFmtId="185" fontId="51" fillId="35" borderId="0" xfId="0" applyNumberFormat="1" applyFont="1" applyFill="1" applyAlignment="1">
      <alignment horizontal="center" vertical="center"/>
    </xf>
    <xf numFmtId="185" fontId="47" fillId="0" borderId="0" xfId="48" applyNumberFormat="1" applyFont="1" applyBorder="1" applyAlignment="1">
      <alignment horizontal="center"/>
    </xf>
    <xf numFmtId="3" fontId="45" fillId="0" borderId="0" xfId="48" applyNumberFormat="1" applyFont="1" applyFill="1" applyBorder="1" applyAlignment="1">
      <alignment vertical="center"/>
    </xf>
    <xf numFmtId="3" fontId="45" fillId="0" borderId="0" xfId="48" applyNumberFormat="1" applyFont="1" applyBorder="1" applyAlignment="1">
      <alignment horizontal="center"/>
    </xf>
    <xf numFmtId="3" fontId="45" fillId="0" borderId="0" xfId="48" applyNumberFormat="1" applyFont="1" applyFill="1" applyBorder="1" applyAlignment="1">
      <alignment horizontal="center" vertical="center"/>
    </xf>
    <xf numFmtId="177" fontId="45" fillId="0" borderId="0" xfId="50" applyNumberFormat="1" applyFont="1" applyBorder="1" applyAlignment="1"/>
    <xf numFmtId="177" fontId="45" fillId="0" borderId="0" xfId="52" applyNumberFormat="1" applyFont="1" applyBorder="1" applyAlignment="1"/>
    <xf numFmtId="3" fontId="45" fillId="0" borderId="0" xfId="52" applyNumberFormat="1" applyFont="1" applyBorder="1" applyAlignment="1">
      <alignment horizontal="center"/>
    </xf>
    <xf numFmtId="3" fontId="45" fillId="0" borderId="0" xfId="0" applyNumberFormat="1" applyFont="1" applyProtection="1">
      <protection locked="0"/>
    </xf>
    <xf numFmtId="3" fontId="45" fillId="37" borderId="0" xfId="48" applyNumberFormat="1" applyFont="1" applyFill="1" applyBorder="1"/>
    <xf numFmtId="207" fontId="45" fillId="0" borderId="0" xfId="48" applyNumberFormat="1" applyFont="1" applyBorder="1"/>
    <xf numFmtId="167" fontId="45" fillId="0" borderId="0" xfId="75" applyNumberFormat="1" applyFont="1" applyAlignment="1">
      <alignment horizontal="center"/>
    </xf>
    <xf numFmtId="169" fontId="49" fillId="35" borderId="0" xfId="48" applyNumberFormat="1" applyFont="1" applyFill="1" applyBorder="1" applyAlignment="1">
      <alignment horizontal="center"/>
    </xf>
    <xf numFmtId="167" fontId="45" fillId="37" borderId="0" xfId="0" applyNumberFormat="1" applyFont="1" applyFill="1" applyAlignment="1">
      <alignment horizontal="center"/>
    </xf>
    <xf numFmtId="178" fontId="48" fillId="0" borderId="0" xfId="48" applyNumberFormat="1" applyFont="1" applyBorder="1" applyAlignment="1">
      <alignment horizontal="center"/>
    </xf>
    <xf numFmtId="186" fontId="49" fillId="35" borderId="0" xfId="48" applyNumberFormat="1" applyFont="1" applyFill="1" applyBorder="1" applyAlignment="1">
      <alignment horizontal="center"/>
    </xf>
    <xf numFmtId="167" fontId="45" fillId="0" borderId="0" xfId="75" applyNumberFormat="1" applyFont="1" applyFill="1" applyAlignment="1">
      <alignment horizontal="center"/>
    </xf>
    <xf numFmtId="167" fontId="45" fillId="37" borderId="0" xfId="75" applyNumberFormat="1" applyFont="1" applyFill="1" applyBorder="1" applyAlignment="1">
      <alignment horizontal="center" vertical="center"/>
    </xf>
    <xf numFmtId="184" fontId="45" fillId="0" borderId="0" xfId="48" applyNumberFormat="1" applyFont="1" applyBorder="1" applyAlignment="1">
      <alignment vertical="center"/>
    </xf>
    <xf numFmtId="3" fontId="45" fillId="0" borderId="0" xfId="50" applyNumberFormat="1" applyFont="1" applyFill="1" applyBorder="1" applyAlignment="1"/>
    <xf numFmtId="184" fontId="45" fillId="0" borderId="0" xfId="50" applyNumberFormat="1" applyFont="1" applyBorder="1" applyAlignment="1"/>
    <xf numFmtId="3" fontId="45" fillId="0" borderId="0" xfId="52" applyNumberFormat="1" applyFont="1" applyFill="1" applyBorder="1" applyAlignment="1"/>
    <xf numFmtId="177" fontId="45" fillId="0" borderId="0" xfId="50" applyNumberFormat="1" applyFont="1" applyBorder="1" applyAlignment="1">
      <alignment horizontal="center"/>
    </xf>
    <xf numFmtId="0" fontId="20" fillId="0" borderId="0" xfId="0" applyFont="1"/>
    <xf numFmtId="169" fontId="45" fillId="0" borderId="15" xfId="0" applyNumberFormat="1" applyFont="1" applyBorder="1" applyAlignment="1">
      <alignment horizontal="center"/>
    </xf>
    <xf numFmtId="169" fontId="45" fillId="0" borderId="8" xfId="0" applyNumberFormat="1" applyFont="1" applyBorder="1" applyAlignment="1">
      <alignment horizontal="center"/>
    </xf>
    <xf numFmtId="167" fontId="45" fillId="0" borderId="15" xfId="0" applyNumberFormat="1" applyFont="1" applyBorder="1" applyAlignment="1">
      <alignment horizontal="center"/>
    </xf>
    <xf numFmtId="167" fontId="45" fillId="0" borderId="17" xfId="0" applyNumberFormat="1" applyFont="1" applyBorder="1" applyAlignment="1">
      <alignment horizontal="center"/>
    </xf>
    <xf numFmtId="167" fontId="45" fillId="0" borderId="11" xfId="0" applyNumberFormat="1" applyFont="1" applyBorder="1" applyAlignment="1">
      <alignment horizontal="center"/>
    </xf>
    <xf numFmtId="167" fontId="45" fillId="0" borderId="16" xfId="0" applyNumberFormat="1" applyFont="1" applyBorder="1" applyAlignment="1">
      <alignment horizontal="center"/>
    </xf>
    <xf numFmtId="172" fontId="6" fillId="0" borderId="0" xfId="48" applyNumberFormat="1" applyFont="1" applyFill="1" applyBorder="1" applyAlignment="1"/>
    <xf numFmtId="10" fontId="45" fillId="0" borderId="0" xfId="0" applyNumberFormat="1" applyFont="1" applyAlignment="1">
      <alignment horizontal="center"/>
    </xf>
    <xf numFmtId="3" fontId="53" fillId="0" borderId="0" xfId="0" applyNumberFormat="1" applyFont="1"/>
    <xf numFmtId="208" fontId="53" fillId="0" borderId="0" xfId="48" applyNumberFormat="1" applyFont="1" applyFill="1" applyBorder="1" applyAlignment="1"/>
    <xf numFmtId="0" fontId="53" fillId="0" borderId="0" xfId="0" applyFont="1"/>
    <xf numFmtId="207" fontId="45" fillId="0" borderId="0" xfId="48" applyNumberFormat="1" applyFont="1" applyFill="1"/>
    <xf numFmtId="0" fontId="45" fillId="0" borderId="0" xfId="48" applyFont="1"/>
    <xf numFmtId="167" fontId="45" fillId="0" borderId="0" xfId="48" applyNumberFormat="1" applyFont="1" applyFill="1" applyBorder="1" applyAlignment="1">
      <alignment horizontal="center"/>
    </xf>
    <xf numFmtId="0" fontId="45" fillId="0" borderId="0" xfId="0" applyFont="1" applyAlignment="1">
      <alignment horizontal="center" vertical="center" wrapText="1"/>
    </xf>
    <xf numFmtId="3" fontId="58" fillId="0" borderId="0" xfId="0" applyNumberFormat="1" applyFont="1"/>
    <xf numFmtId="1" fontId="20" fillId="0" borderId="0" xfId="0" applyNumberFormat="1" applyFont="1"/>
    <xf numFmtId="209" fontId="58" fillId="0" borderId="0" xfId="48" applyNumberFormat="1" applyFont="1" applyFill="1" applyBorder="1" applyAlignment="1"/>
    <xf numFmtId="208" fontId="58" fillId="0" borderId="0" xfId="48" applyNumberFormat="1" applyFont="1" applyFill="1" applyBorder="1" applyAlignment="1"/>
    <xf numFmtId="168" fontId="58" fillId="0" borderId="0" xfId="75" applyNumberFormat="1" applyFont="1" applyFill="1" applyBorder="1" applyAlignment="1"/>
    <xf numFmtId="3" fontId="58" fillId="0" borderId="0" xfId="0" applyNumberFormat="1" applyFont="1" applyAlignment="1">
      <alignment horizontal="right"/>
    </xf>
    <xf numFmtId="2" fontId="58" fillId="0" borderId="0" xfId="0" applyNumberFormat="1" applyFont="1"/>
    <xf numFmtId="0" fontId="46" fillId="35" borderId="0" xfId="0" applyFont="1" applyFill="1" applyAlignment="1">
      <alignment horizontal="center"/>
    </xf>
    <xf numFmtId="0" fontId="50" fillId="35" borderId="0" xfId="0" applyFont="1" applyFill="1" applyAlignment="1">
      <alignment horizontal="left"/>
    </xf>
    <xf numFmtId="167" fontId="45" fillId="37" borderId="0" xfId="75" applyNumberFormat="1" applyFont="1" applyFill="1" applyAlignment="1">
      <alignment horizontal="center" vertical="center"/>
    </xf>
    <xf numFmtId="167" fontId="45" fillId="0" borderId="0" xfId="75" applyNumberFormat="1" applyFont="1" applyAlignment="1">
      <alignment horizontal="center" vertical="center"/>
    </xf>
    <xf numFmtId="3" fontId="45" fillId="0" borderId="0" xfId="48" applyNumberFormat="1" applyFont="1" applyBorder="1"/>
    <xf numFmtId="3" fontId="53" fillId="0" borderId="0" xfId="0" applyNumberFormat="1" applyFont="1" applyAlignment="1">
      <alignment horizontal="right"/>
    </xf>
    <xf numFmtId="184" fontId="56" fillId="35" borderId="0" xfId="48" applyNumberFormat="1" applyFont="1" applyFill="1" applyBorder="1" applyAlignment="1">
      <alignment horizontal="right"/>
    </xf>
    <xf numFmtId="184" fontId="57" fillId="40" borderId="0" xfId="0" applyNumberFormat="1" applyFont="1" applyFill="1" applyAlignment="1">
      <alignment horizontal="right"/>
    </xf>
    <xf numFmtId="0" fontId="46" fillId="35" borderId="0" xfId="0" applyFont="1" applyFill="1" applyAlignment="1">
      <alignment horizontal="left"/>
    </xf>
    <xf numFmtId="171" fontId="44" fillId="0" borderId="0" xfId="48" applyNumberFormat="1" applyFont="1" applyBorder="1" applyAlignment="1"/>
    <xf numFmtId="171" fontId="45" fillId="0" borderId="0" xfId="48" applyNumberFormat="1" applyFont="1" applyBorder="1" applyAlignment="1"/>
    <xf numFmtId="171" fontId="48" fillId="0" borderId="0" xfId="48" applyNumberFormat="1" applyFont="1" applyBorder="1" applyAlignment="1"/>
    <xf numFmtId="171" fontId="49" fillId="2" borderId="0" xfId="48" applyNumberFormat="1" applyFont="1" applyFill="1" applyBorder="1" applyAlignment="1"/>
    <xf numFmtId="0" fontId="45" fillId="36" borderId="0" xfId="0" applyFont="1" applyFill="1" applyAlignment="1">
      <alignment horizontal="left" vertical="center"/>
    </xf>
    <xf numFmtId="0" fontId="44" fillId="36" borderId="0" xfId="0" applyFont="1" applyFill="1" applyAlignment="1">
      <alignment horizontal="left" vertical="center" wrapText="1"/>
    </xf>
    <xf numFmtId="3" fontId="44" fillId="0" borderId="0" xfId="0" applyNumberFormat="1" applyFont="1" applyAlignment="1">
      <alignment horizontal="right" vertical="center"/>
    </xf>
    <xf numFmtId="10" fontId="45" fillId="0" borderId="0" xfId="0" applyNumberFormat="1" applyFont="1" applyAlignment="1">
      <alignment horizontal="center" vertical="center"/>
    </xf>
    <xf numFmtId="168" fontId="45" fillId="0" borderId="0" xfId="0" applyNumberFormat="1" applyFont="1" applyAlignment="1">
      <alignment horizontal="center" vertical="center"/>
    </xf>
    <xf numFmtId="10" fontId="51" fillId="36" borderId="0" xfId="0" applyNumberFormat="1" applyFont="1" applyFill="1" applyAlignment="1">
      <alignment horizontal="center" vertical="center"/>
    </xf>
    <xf numFmtId="10" fontId="51" fillId="0" borderId="0" xfId="0" applyNumberFormat="1" applyFont="1" applyAlignment="1">
      <alignment horizontal="center" vertical="center"/>
    </xf>
    <xf numFmtId="172" fontId="49" fillId="0" borderId="0" xfId="48" applyNumberFormat="1" applyFont="1" applyFill="1" applyBorder="1" applyAlignment="1"/>
    <xf numFmtId="168" fontId="49" fillId="0" borderId="0" xfId="48" applyNumberFormat="1" applyFont="1" applyFill="1" applyBorder="1" applyAlignment="1">
      <alignment horizontal="center"/>
    </xf>
    <xf numFmtId="3" fontId="44" fillId="34" borderId="0" xfId="0" applyNumberFormat="1" applyFont="1" applyFill="1" applyAlignment="1">
      <alignment horizontal="right" vertical="center"/>
    </xf>
    <xf numFmtId="10" fontId="45" fillId="34" borderId="0" xfId="0" applyNumberFormat="1" applyFont="1" applyFill="1" applyAlignment="1">
      <alignment horizontal="center" vertical="center"/>
    </xf>
    <xf numFmtId="0" fontId="45" fillId="34" borderId="0" xfId="0" applyFont="1" applyFill="1"/>
    <xf numFmtId="9" fontId="45" fillId="0" borderId="0" xfId="0" applyNumberFormat="1" applyFont="1" applyAlignment="1">
      <alignment horizontal="center" vertical="center"/>
    </xf>
    <xf numFmtId="3" fontId="44" fillId="0" borderId="0" xfId="0" applyNumberFormat="1" applyFont="1" applyAlignment="1">
      <alignment horizontal="center" vertical="center"/>
    </xf>
    <xf numFmtId="0" fontId="59" fillId="0" borderId="0" xfId="0" applyFont="1"/>
    <xf numFmtId="3" fontId="44" fillId="0" borderId="0" xfId="48" applyNumberFormat="1" applyFont="1" applyAlignment="1">
      <alignment horizontal="center" vertical="center"/>
    </xf>
    <xf numFmtId="10" fontId="45" fillId="0" borderId="0" xfId="0" applyNumberFormat="1" applyFont="1"/>
    <xf numFmtId="172" fontId="44" fillId="0" borderId="0" xfId="48" applyNumberFormat="1" applyFont="1" applyFill="1" applyBorder="1" applyAlignment="1">
      <alignment horizontal="center"/>
    </xf>
    <xf numFmtId="3" fontId="44" fillId="0" borderId="0" xfId="0" applyNumberFormat="1" applyFont="1" applyAlignment="1">
      <alignment horizontal="center"/>
    </xf>
    <xf numFmtId="3" fontId="45" fillId="0" borderId="0" xfId="0" applyNumberFormat="1" applyFont="1" applyAlignment="1">
      <alignment horizontal="center" vertical="center"/>
    </xf>
    <xf numFmtId="0" fontId="45" fillId="37" borderId="0" xfId="0" applyFont="1" applyFill="1" applyAlignment="1">
      <alignment horizontal="center" vertical="center"/>
    </xf>
    <xf numFmtId="168" fontId="45" fillId="37" borderId="0" xfId="0" applyNumberFormat="1" applyFont="1" applyFill="1" applyAlignment="1">
      <alignment horizontal="center" vertical="center"/>
    </xf>
    <xf numFmtId="3" fontId="44" fillId="37" borderId="0" xfId="48" applyNumberFormat="1" applyFont="1" applyFill="1" applyAlignment="1">
      <alignment horizontal="center" vertical="center"/>
    </xf>
    <xf numFmtId="9" fontId="45" fillId="37" borderId="0" xfId="0" applyNumberFormat="1" applyFont="1" applyFill="1" applyAlignment="1">
      <alignment horizontal="center" vertical="center"/>
    </xf>
    <xf numFmtId="168" fontId="53" fillId="0" borderId="0" xfId="0" applyNumberFormat="1" applyFont="1"/>
    <xf numFmtId="172" fontId="45" fillId="0" borderId="0" xfId="48" applyNumberFormat="1" applyFont="1" applyFill="1" applyBorder="1" applyAlignment="1"/>
    <xf numFmtId="10" fontId="45" fillId="0" borderId="0" xfId="75" applyNumberFormat="1" applyFont="1"/>
    <xf numFmtId="207" fontId="45" fillId="0" borderId="0" xfId="0" applyNumberFormat="1" applyFont="1"/>
    <xf numFmtId="168" fontId="45" fillId="0" borderId="0" xfId="0" applyNumberFormat="1" applyFont="1"/>
    <xf numFmtId="9" fontId="45" fillId="0" borderId="0" xfId="75" applyFont="1"/>
    <xf numFmtId="167" fontId="53" fillId="0" borderId="0" xfId="0" applyNumberFormat="1" applyFont="1"/>
    <xf numFmtId="167" fontId="45" fillId="0" borderId="0" xfId="48" applyNumberFormat="1" applyFont="1"/>
    <xf numFmtId="0" fontId="44" fillId="35" borderId="0" xfId="0" quotePrefix="1" applyFont="1" applyFill="1" applyAlignment="1">
      <alignment horizontal="center" vertical="center" wrapText="1"/>
    </xf>
    <xf numFmtId="177" fontId="49" fillId="35" borderId="0" xfId="48" applyNumberFormat="1" applyFont="1" applyFill="1" applyBorder="1" applyAlignment="1">
      <alignment horizontal="right"/>
    </xf>
    <xf numFmtId="177" fontId="49" fillId="35" borderId="0" xfId="48" applyNumberFormat="1" applyFont="1" applyFill="1" applyBorder="1" applyAlignment="1">
      <alignment horizontal="center"/>
    </xf>
    <xf numFmtId="0" fontId="44" fillId="35" borderId="0" xfId="0" applyFont="1" applyFill="1"/>
    <xf numFmtId="179" fontId="45" fillId="35" borderId="0" xfId="48" applyNumberFormat="1" applyFont="1" applyFill="1" applyBorder="1" applyAlignment="1">
      <alignment horizontal="right"/>
    </xf>
    <xf numFmtId="0" fontId="45" fillId="35" borderId="0" xfId="0" applyFont="1" applyFill="1"/>
    <xf numFmtId="0" fontId="47" fillId="35" borderId="0" xfId="0" applyFont="1" applyFill="1"/>
    <xf numFmtId="191" fontId="45" fillId="35" borderId="0" xfId="48" applyNumberFormat="1" applyFont="1" applyFill="1" applyBorder="1" applyAlignment="1">
      <alignment horizontal="center"/>
    </xf>
    <xf numFmtId="179" fontId="49" fillId="35" borderId="0" xfId="48" applyNumberFormat="1" applyFont="1" applyFill="1" applyBorder="1" applyAlignment="1">
      <alignment horizontal="right"/>
    </xf>
    <xf numFmtId="3" fontId="49" fillId="35" borderId="0" xfId="48" applyNumberFormat="1" applyFont="1" applyFill="1" applyBorder="1" applyAlignment="1">
      <alignment horizontal="right"/>
    </xf>
    <xf numFmtId="0" fontId="46" fillId="35" borderId="0" xfId="0" applyFont="1" applyFill="1"/>
    <xf numFmtId="0" fontId="44" fillId="35" borderId="0" xfId="48" applyFont="1" applyFill="1" applyBorder="1" applyAlignment="1">
      <alignment horizontal="center" vertical="center" wrapText="1"/>
    </xf>
    <xf numFmtId="3" fontId="45" fillId="0" borderId="0" xfId="50" applyNumberFormat="1" applyFont="1" applyFill="1" applyBorder="1" applyAlignment="1">
      <alignment horizontal="center" vertical="center"/>
    </xf>
    <xf numFmtId="3" fontId="45" fillId="0" borderId="0" xfId="48" applyNumberFormat="1" applyFont="1" applyFill="1" applyBorder="1" applyAlignment="1">
      <alignment horizontal="right"/>
    </xf>
    <xf numFmtId="179" fontId="45" fillId="0" borderId="0" xfId="50" applyNumberFormat="1" applyFont="1" applyFill="1" applyBorder="1" applyAlignment="1">
      <alignment horizontal="center"/>
    </xf>
    <xf numFmtId="3" fontId="45" fillId="0" borderId="0" xfId="24" applyNumberFormat="1" applyFont="1" applyBorder="1" applyAlignment="1">
      <alignment horizontal="center"/>
    </xf>
    <xf numFmtId="169" fontId="45" fillId="0" borderId="0" xfId="48" applyNumberFormat="1" applyFont="1" applyBorder="1" applyAlignment="1">
      <alignment horizontal="center"/>
    </xf>
    <xf numFmtId="0" fontId="47" fillId="35" borderId="0" xfId="0" applyFont="1" applyFill="1" applyAlignment="1">
      <alignment horizontal="center"/>
    </xf>
    <xf numFmtId="2" fontId="45" fillId="0" borderId="0" xfId="75" applyNumberFormat="1" applyFont="1" applyFill="1" applyBorder="1" applyAlignment="1">
      <alignment horizontal="center" vertical="center"/>
    </xf>
    <xf numFmtId="2" fontId="45" fillId="0" borderId="0" xfId="75" applyNumberFormat="1" applyFont="1" applyAlignment="1">
      <alignment horizontal="center" vertical="center"/>
    </xf>
    <xf numFmtId="0" fontId="45" fillId="0" borderId="0" xfId="72" applyFont="1" applyBorder="1"/>
    <xf numFmtId="0" fontId="45" fillId="0" borderId="2" xfId="0" applyFont="1" applyBorder="1"/>
    <xf numFmtId="174" fontId="45" fillId="0" borderId="2" xfId="48" applyNumberFormat="1" applyFont="1" applyFill="1" applyBorder="1" applyAlignment="1">
      <alignment horizontal="center"/>
    </xf>
    <xf numFmtId="38" fontId="45" fillId="0" borderId="2" xfId="48" applyNumberFormat="1" applyFont="1" applyFill="1" applyBorder="1" applyAlignment="1">
      <alignment horizontal="center"/>
    </xf>
    <xf numFmtId="188" fontId="45" fillId="0" borderId="2" xfId="49" applyNumberFormat="1" applyFont="1" applyFill="1" applyBorder="1" applyAlignment="1">
      <alignment horizontal="center" vertical="center"/>
    </xf>
    <xf numFmtId="174" fontId="45" fillId="0" borderId="2" xfId="0" applyNumberFormat="1" applyFont="1" applyBorder="1" applyAlignment="1">
      <alignment horizontal="center"/>
    </xf>
    <xf numFmtId="3" fontId="45" fillId="0" borderId="2" xfId="75" applyNumberFormat="1" applyFont="1" applyFill="1" applyBorder="1" applyAlignment="1">
      <alignment horizontal="center"/>
    </xf>
    <xf numFmtId="174" fontId="45" fillId="0" borderId="2" xfId="50" applyNumberFormat="1" applyFont="1" applyFill="1" applyBorder="1" applyAlignment="1">
      <alignment horizontal="center"/>
    </xf>
    <xf numFmtId="169" fontId="45" fillId="0" borderId="2" xfId="48" applyNumberFormat="1" applyFont="1" applyFill="1" applyBorder="1" applyAlignment="1">
      <alignment horizontal="center"/>
    </xf>
    <xf numFmtId="197" fontId="45" fillId="0" borderId="2" xfId="48" applyNumberFormat="1" applyFont="1" applyFill="1" applyBorder="1" applyAlignment="1">
      <alignment horizontal="center"/>
    </xf>
    <xf numFmtId="3" fontId="45" fillId="0" borderId="2" xfId="48" applyNumberFormat="1" applyFont="1" applyBorder="1" applyAlignment="1">
      <alignment horizontal="center"/>
    </xf>
    <xf numFmtId="4" fontId="45" fillId="0" borderId="2" xfId="48" applyNumberFormat="1" applyFont="1" applyBorder="1" applyAlignment="1">
      <alignment horizontal="center"/>
    </xf>
    <xf numFmtId="0" fontId="45" fillId="34" borderId="2" xfId="0" applyFont="1" applyFill="1" applyBorder="1" applyAlignment="1">
      <alignment horizontal="center"/>
    </xf>
    <xf numFmtId="168" fontId="45" fillId="0" borderId="2" xfId="75" applyNumberFormat="1" applyFont="1" applyBorder="1" applyAlignment="1">
      <alignment horizontal="center"/>
    </xf>
    <xf numFmtId="168" fontId="45" fillId="0" borderId="2" xfId="75" applyNumberFormat="1" applyFont="1" applyFill="1" applyBorder="1" applyAlignment="1">
      <alignment horizontal="center"/>
    </xf>
    <xf numFmtId="168" fontId="2" fillId="0" borderId="2" xfId="75" applyNumberFormat="1" applyFont="1" applyFill="1" applyBorder="1" applyAlignment="1">
      <alignment horizontal="center" vertical="center"/>
    </xf>
    <xf numFmtId="10" fontId="45" fillId="0" borderId="2" xfId="75" applyNumberFormat="1" applyFont="1" applyBorder="1" applyAlignment="1">
      <alignment horizontal="center"/>
    </xf>
    <xf numFmtId="174" fontId="44" fillId="0" borderId="2" xfId="0" applyNumberFormat="1" applyFont="1" applyBorder="1" applyAlignment="1">
      <alignment horizontal="center"/>
    </xf>
    <xf numFmtId="0" fontId="44" fillId="0" borderId="2" xfId="0" applyFont="1" applyBorder="1" applyAlignment="1">
      <alignment horizontal="center"/>
    </xf>
    <xf numFmtId="168" fontId="45" fillId="0" borderId="2" xfId="59" applyNumberFormat="1" applyFont="1" applyFill="1" applyBorder="1" applyAlignment="1">
      <alignment horizontal="center"/>
    </xf>
    <xf numFmtId="168" fontId="45" fillId="0" borderId="2" xfId="59" applyNumberFormat="1" applyFont="1" applyBorder="1" applyAlignment="1">
      <alignment horizontal="center"/>
    </xf>
    <xf numFmtId="164" fontId="45" fillId="0" borderId="2" xfId="49" applyFont="1" applyFill="1" applyBorder="1" applyAlignment="1">
      <alignment horizontal="center" vertical="center"/>
    </xf>
    <xf numFmtId="0" fontId="47" fillId="0" borderId="2" xfId="0" applyFont="1" applyBorder="1" applyAlignment="1">
      <alignment horizontal="center"/>
    </xf>
    <xf numFmtId="3" fontId="45" fillId="0" borderId="2" xfId="48" applyNumberFormat="1" applyFont="1" applyFill="1" applyBorder="1" applyAlignment="1">
      <alignment horizontal="center"/>
    </xf>
    <xf numFmtId="3" fontId="45" fillId="0" borderId="2" xfId="0" applyNumberFormat="1" applyFont="1" applyBorder="1" applyAlignment="1">
      <alignment horizontal="center"/>
    </xf>
    <xf numFmtId="10" fontId="45" fillId="0" borderId="2" xfId="75" applyNumberFormat="1" applyFont="1" applyFill="1" applyBorder="1" applyAlignment="1">
      <alignment horizontal="center"/>
    </xf>
    <xf numFmtId="49" fontId="45" fillId="0" borderId="2" xfId="75" applyNumberFormat="1" applyFont="1" applyFill="1" applyBorder="1" applyAlignment="1">
      <alignment horizontal="center"/>
    </xf>
    <xf numFmtId="49" fontId="45" fillId="0" borderId="2" xfId="75" applyNumberFormat="1" applyFont="1" applyBorder="1" applyAlignment="1">
      <alignment horizontal="center"/>
    </xf>
    <xf numFmtId="9" fontId="45" fillId="0" borderId="2" xfId="75" applyFont="1" applyBorder="1" applyAlignment="1">
      <alignment horizontal="center"/>
    </xf>
    <xf numFmtId="167" fontId="45" fillId="37" borderId="2" xfId="48" applyNumberFormat="1" applyFont="1" applyFill="1" applyBorder="1" applyAlignment="1">
      <alignment horizontal="center"/>
    </xf>
    <xf numFmtId="168" fontId="45" fillId="37" borderId="2" xfId="75" applyNumberFormat="1" applyFont="1" applyFill="1" applyBorder="1" applyAlignment="1">
      <alignment horizontal="center"/>
    </xf>
    <xf numFmtId="164" fontId="45" fillId="0" borderId="2" xfId="49" applyFont="1" applyBorder="1" applyAlignment="1">
      <alignment horizontal="center"/>
    </xf>
    <xf numFmtId="168" fontId="45" fillId="37" borderId="2" xfId="75" applyNumberFormat="1" applyFont="1" applyFill="1" applyBorder="1"/>
    <xf numFmtId="168" fontId="45" fillId="38" borderId="2" xfId="75" applyNumberFormat="1" applyFont="1" applyFill="1" applyBorder="1" applyAlignment="1">
      <alignment horizontal="center"/>
    </xf>
    <xf numFmtId="168" fontId="45" fillId="39" borderId="2" xfId="75" applyNumberFormat="1" applyFont="1" applyFill="1" applyBorder="1" applyAlignment="1">
      <alignment horizontal="center" vertical="center"/>
    </xf>
    <xf numFmtId="3" fontId="45" fillId="39" borderId="2" xfId="49" applyNumberFormat="1" applyFont="1" applyFill="1" applyBorder="1" applyAlignment="1">
      <alignment horizontal="center" vertical="center"/>
    </xf>
    <xf numFmtId="3" fontId="45" fillId="37" borderId="2" xfId="48" applyNumberFormat="1" applyFont="1" applyFill="1" applyBorder="1" applyAlignment="1">
      <alignment horizontal="center"/>
    </xf>
    <xf numFmtId="3" fontId="53" fillId="0" borderId="2" xfId="48" applyNumberFormat="1" applyFont="1" applyFill="1" applyBorder="1" applyAlignment="1">
      <alignment horizontal="center"/>
    </xf>
    <xf numFmtId="168" fontId="2" fillId="0" borderId="2" xfId="75" applyNumberFormat="1" applyFont="1" applyBorder="1" applyAlignment="1">
      <alignment horizontal="center"/>
    </xf>
    <xf numFmtId="168" fontId="45" fillId="0" borderId="2" xfId="75" applyNumberFormat="1" applyFont="1" applyBorder="1" applyAlignment="1">
      <alignment horizontal="center" vertical="center"/>
    </xf>
    <xf numFmtId="168" fontId="53" fillId="0" borderId="2" xfId="75" applyNumberFormat="1" applyFont="1" applyBorder="1" applyAlignment="1">
      <alignment horizontal="center" vertical="center"/>
    </xf>
    <xf numFmtId="168" fontId="53" fillId="0" borderId="2" xfId="75" applyNumberFormat="1" applyFont="1" applyBorder="1" applyAlignment="1">
      <alignment horizontal="center"/>
    </xf>
    <xf numFmtId="0" fontId="44" fillId="35" borderId="0" xfId="0" applyFont="1" applyFill="1" applyAlignment="1">
      <alignment horizontal="left" vertical="center" wrapText="1"/>
    </xf>
    <xf numFmtId="169" fontId="44" fillId="35" borderId="0" xfId="75" applyNumberFormat="1" applyFont="1" applyFill="1" applyBorder="1" applyAlignment="1">
      <alignment horizontal="center" vertical="center"/>
    </xf>
    <xf numFmtId="0" fontId="47" fillId="35" borderId="0" xfId="0" applyFont="1" applyFill="1" applyAlignment="1">
      <alignment horizontal="center" vertical="center" wrapText="1"/>
    </xf>
    <xf numFmtId="183" fontId="45" fillId="0" borderId="0" xfId="0" applyNumberFormat="1" applyFont="1" applyAlignment="1">
      <alignment horizontal="center"/>
    </xf>
    <xf numFmtId="169" fontId="45" fillId="37" borderId="0" xfId="0" applyNumberFormat="1" applyFont="1" applyFill="1" applyAlignment="1">
      <alignment horizontal="center" vertical="center"/>
    </xf>
    <xf numFmtId="189" fontId="45" fillId="0" borderId="0" xfId="0" applyNumberFormat="1" applyFont="1" applyAlignment="1">
      <alignment horizontal="center"/>
    </xf>
    <xf numFmtId="3" fontId="44" fillId="2" borderId="0" xfId="75" applyNumberFormat="1" applyFont="1" applyFill="1" applyBorder="1" applyAlignment="1">
      <alignment horizontal="center"/>
    </xf>
    <xf numFmtId="3" fontId="49" fillId="35" borderId="0" xfId="48" applyNumberFormat="1" applyFont="1" applyFill="1" applyBorder="1" applyAlignment="1">
      <alignment horizontal="center"/>
    </xf>
    <xf numFmtId="169" fontId="49" fillId="35" borderId="0" xfId="48" applyNumberFormat="1" applyFont="1" applyFill="1" applyBorder="1" applyAlignment="1">
      <alignment horizontal="right"/>
    </xf>
    <xf numFmtId="167" fontId="49" fillId="35" borderId="0" xfId="48" applyNumberFormat="1" applyFont="1" applyFill="1" applyBorder="1" applyAlignment="1">
      <alignment horizontal="center"/>
    </xf>
    <xf numFmtId="167" fontId="46" fillId="35" borderId="0" xfId="0" applyNumberFormat="1" applyFont="1" applyFill="1"/>
    <xf numFmtId="17" fontId="47" fillId="0" borderId="0" xfId="0" applyNumberFormat="1" applyFont="1"/>
    <xf numFmtId="167" fontId="2" fillId="0" borderId="0" xfId="0" applyNumberFormat="1" applyFont="1"/>
    <xf numFmtId="167" fontId="2" fillId="0" borderId="8" xfId="0" applyNumberFormat="1" applyFont="1" applyBorder="1"/>
    <xf numFmtId="167" fontId="2" fillId="0" borderId="15" xfId="0" applyNumberFormat="1" applyFont="1" applyBorder="1"/>
    <xf numFmtId="2" fontId="61" fillId="37" borderId="0" xfId="75" applyNumberFormat="1" applyFont="1" applyFill="1" applyAlignment="1">
      <alignment horizontal="center" vertical="center"/>
    </xf>
    <xf numFmtId="2" fontId="62" fillId="37" borderId="0" xfId="75" applyNumberFormat="1" applyFont="1" applyFill="1" applyAlignment="1">
      <alignment horizontal="center" vertical="center"/>
    </xf>
    <xf numFmtId="188" fontId="45" fillId="0" borderId="6" xfId="49" applyNumberFormat="1" applyFont="1" applyBorder="1" applyAlignment="1">
      <alignment horizontal="center"/>
    </xf>
    <xf numFmtId="188" fontId="45" fillId="0" borderId="8" xfId="49" applyNumberFormat="1" applyFont="1" applyBorder="1" applyAlignment="1">
      <alignment horizontal="center"/>
    </xf>
    <xf numFmtId="0" fontId="43" fillId="34" borderId="0" xfId="0" applyFont="1" applyFill="1"/>
    <xf numFmtId="164" fontId="45" fillId="34" borderId="0" xfId="49" applyFont="1" applyFill="1" applyBorder="1" applyAlignment="1">
      <alignment horizontal="center"/>
    </xf>
    <xf numFmtId="0" fontId="0" fillId="34" borderId="0" xfId="0" applyFill="1"/>
    <xf numFmtId="168" fontId="58" fillId="0" borderId="0" xfId="75" applyNumberFormat="1" applyFont="1"/>
    <xf numFmtId="3" fontId="20" fillId="0" borderId="0" xfId="0" applyNumberFormat="1" applyFont="1"/>
    <xf numFmtId="9" fontId="20" fillId="0" borderId="2" xfId="75" applyFont="1" applyBorder="1" applyAlignment="1">
      <alignment horizontal="center"/>
    </xf>
    <xf numFmtId="3" fontId="58" fillId="0" borderId="0" xfId="0" applyNumberFormat="1" applyFont="1" applyAlignment="1">
      <alignment horizontal="center"/>
    </xf>
    <xf numFmtId="169" fontId="58" fillId="0" borderId="0" xfId="0" applyNumberFormat="1" applyFont="1" applyAlignment="1">
      <alignment horizontal="center"/>
    </xf>
    <xf numFmtId="168" fontId="58" fillId="0" borderId="0" xfId="75" applyNumberFormat="1" applyFont="1" applyFill="1" applyBorder="1" applyAlignment="1">
      <alignment horizontal="right"/>
    </xf>
    <xf numFmtId="3" fontId="20" fillId="0" borderId="2" xfId="0" applyNumberFormat="1" applyFont="1" applyBorder="1"/>
    <xf numFmtId="3" fontId="45" fillId="0" borderId="2" xfId="49" applyNumberFormat="1" applyFont="1" applyFill="1" applyBorder="1" applyAlignment="1">
      <alignment horizontal="center" vertical="center"/>
    </xf>
    <xf numFmtId="20" fontId="45" fillId="0" borderId="0" xfId="0" applyNumberFormat="1" applyFont="1" applyAlignment="1">
      <alignment horizontal="left"/>
    </xf>
    <xf numFmtId="169" fontId="64" fillId="0" borderId="0" xfId="0" applyNumberFormat="1" applyFont="1"/>
    <xf numFmtId="0" fontId="65" fillId="37" borderId="2" xfId="0" applyFont="1" applyFill="1" applyBorder="1" applyAlignment="1">
      <alignment horizontal="center" vertical="center"/>
    </xf>
    <xf numFmtId="0" fontId="58" fillId="37" borderId="2" xfId="0" applyFont="1" applyFill="1" applyBorder="1" applyAlignment="1">
      <alignment horizontal="center" vertical="center"/>
    </xf>
    <xf numFmtId="210" fontId="45" fillId="0" borderId="8" xfId="49" applyNumberFormat="1" applyFont="1" applyBorder="1" applyAlignment="1">
      <alignment horizontal="center"/>
    </xf>
    <xf numFmtId="188" fontId="45" fillId="0" borderId="5" xfId="49" applyNumberFormat="1" applyFont="1" applyBorder="1" applyAlignment="1">
      <alignment horizontal="center"/>
    </xf>
    <xf numFmtId="0" fontId="20" fillId="0" borderId="8" xfId="0" applyFont="1" applyBorder="1" applyAlignment="1">
      <alignment horizontal="center"/>
    </xf>
    <xf numFmtId="2" fontId="20" fillId="0" borderId="8" xfId="0" applyNumberFormat="1" applyFont="1" applyBorder="1" applyAlignment="1">
      <alignment horizontal="center"/>
    </xf>
    <xf numFmtId="2" fontId="45" fillId="0" borderId="13" xfId="0" applyNumberFormat="1" applyFont="1" applyBorder="1" applyAlignment="1">
      <alignment horizontal="center"/>
    </xf>
    <xf numFmtId="4" fontId="45" fillId="0" borderId="13" xfId="0" applyNumberFormat="1" applyFont="1" applyBorder="1" applyAlignment="1">
      <alignment horizontal="center"/>
    </xf>
    <xf numFmtId="169" fontId="45" fillId="0" borderId="13" xfId="0" applyNumberFormat="1" applyFont="1" applyBorder="1" applyAlignment="1">
      <alignment horizontal="center"/>
    </xf>
    <xf numFmtId="4" fontId="45" fillId="0" borderId="8" xfId="0" applyNumberFormat="1" applyFont="1" applyBorder="1" applyAlignment="1">
      <alignment horizontal="center"/>
    </xf>
    <xf numFmtId="10" fontId="20" fillId="0" borderId="8" xfId="75" applyNumberFormat="1" applyFont="1" applyFill="1" applyBorder="1" applyAlignment="1">
      <alignment horizontal="center"/>
    </xf>
    <xf numFmtId="167" fontId="45" fillId="0" borderId="0" xfId="49" applyNumberFormat="1" applyFont="1" applyAlignment="1">
      <alignment horizontal="center"/>
    </xf>
    <xf numFmtId="167" fontId="45" fillId="0" borderId="7" xfId="0" applyNumberFormat="1" applyFont="1" applyBorder="1" applyAlignment="1">
      <alignment horizontal="center"/>
    </xf>
    <xf numFmtId="188" fontId="45" fillId="0" borderId="16" xfId="49" applyNumberFormat="1" applyFont="1" applyBorder="1" applyAlignment="1">
      <alignment horizontal="center"/>
    </xf>
    <xf numFmtId="188" fontId="45" fillId="0" borderId="7" xfId="49" applyNumberFormat="1" applyFont="1" applyBorder="1" applyAlignment="1">
      <alignment horizontal="center"/>
    </xf>
    <xf numFmtId="0" fontId="45" fillId="0" borderId="16" xfId="0" applyFont="1" applyBorder="1"/>
    <xf numFmtId="0" fontId="20" fillId="0" borderId="7" xfId="0" applyFont="1" applyBorder="1" applyAlignment="1">
      <alignment horizontal="center"/>
    </xf>
    <xf numFmtId="205" fontId="20" fillId="0" borderId="8" xfId="0" applyNumberFormat="1" applyFont="1" applyBorder="1" applyAlignment="1">
      <alignment horizontal="center"/>
    </xf>
    <xf numFmtId="1" fontId="45" fillId="0" borderId="8" xfId="49" applyNumberFormat="1" applyFont="1" applyBorder="1" applyAlignment="1">
      <alignment horizontal="center"/>
    </xf>
    <xf numFmtId="2" fontId="45" fillId="0" borderId="8" xfId="49" applyNumberFormat="1" applyFont="1" applyBorder="1" applyAlignment="1">
      <alignment horizontal="center"/>
    </xf>
    <xf numFmtId="1" fontId="45" fillId="0" borderId="6" xfId="49" applyNumberFormat="1" applyFont="1" applyBorder="1" applyAlignment="1">
      <alignment horizontal="center"/>
    </xf>
    <xf numFmtId="1" fontId="45" fillId="0" borderId="7" xfId="49" applyNumberFormat="1" applyFont="1" applyBorder="1" applyAlignment="1">
      <alignment horizontal="center"/>
    </xf>
    <xf numFmtId="167" fontId="45" fillId="0" borderId="7" xfId="49" applyNumberFormat="1" applyFont="1" applyBorder="1" applyAlignment="1">
      <alignment horizontal="center"/>
    </xf>
    <xf numFmtId="2" fontId="45" fillId="0" borderId="6" xfId="49" applyNumberFormat="1" applyFont="1" applyBorder="1" applyAlignment="1">
      <alignment horizontal="center"/>
    </xf>
    <xf numFmtId="2" fontId="45" fillId="0" borderId="7" xfId="49" applyNumberFormat="1" applyFont="1" applyBorder="1" applyAlignment="1">
      <alignment horizontal="center"/>
    </xf>
    <xf numFmtId="205" fontId="20" fillId="0" borderId="7" xfId="0" applyNumberFormat="1" applyFont="1" applyBorder="1" applyAlignment="1">
      <alignment horizontal="center"/>
    </xf>
    <xf numFmtId="1" fontId="45" fillId="0" borderId="5" xfId="49" applyNumberFormat="1" applyFont="1" applyBorder="1" applyAlignment="1">
      <alignment horizontal="center"/>
    </xf>
    <xf numFmtId="2" fontId="20" fillId="0" borderId="0" xfId="0" applyNumberFormat="1" applyFont="1" applyAlignment="1">
      <alignment horizontal="center"/>
    </xf>
    <xf numFmtId="206" fontId="45" fillId="0" borderId="0" xfId="48" applyNumberFormat="1" applyFont="1" applyFill="1" applyBorder="1" applyAlignment="1">
      <alignment horizontal="center"/>
    </xf>
    <xf numFmtId="169" fontId="20" fillId="0" borderId="6" xfId="0" applyNumberFormat="1" applyFont="1" applyBorder="1" applyAlignment="1">
      <alignment horizontal="center"/>
    </xf>
    <xf numFmtId="0" fontId="45" fillId="0" borderId="5" xfId="0" applyFont="1" applyBorder="1" applyAlignment="1">
      <alignment horizontal="center"/>
    </xf>
    <xf numFmtId="4" fontId="45" fillId="0" borderId="7" xfId="0" applyNumberFormat="1" applyFont="1" applyBorder="1" applyAlignment="1">
      <alignment horizontal="center"/>
    </xf>
    <xf numFmtId="0" fontId="45" fillId="0" borderId="6" xfId="64" applyFont="1" applyBorder="1" applyAlignment="1">
      <alignment horizontal="center"/>
    </xf>
    <xf numFmtId="187" fontId="45" fillId="0" borderId="7" xfId="0" applyNumberFormat="1" applyFont="1" applyBorder="1" applyAlignment="1">
      <alignment horizontal="center"/>
    </xf>
    <xf numFmtId="167" fontId="53" fillId="0" borderId="6" xfId="0" applyNumberFormat="1" applyFont="1" applyBorder="1" applyAlignment="1">
      <alignment horizontal="center"/>
    </xf>
    <xf numFmtId="2" fontId="53" fillId="0" borderId="6" xfId="0" applyNumberFormat="1" applyFont="1" applyBorder="1" applyAlignment="1">
      <alignment horizontal="center"/>
    </xf>
    <xf numFmtId="0" fontId="53" fillId="0" borderId="6" xfId="0" applyFont="1" applyBorder="1" applyAlignment="1">
      <alignment horizontal="center"/>
    </xf>
    <xf numFmtId="2" fontId="45" fillId="0" borderId="5" xfId="0" applyNumberFormat="1" applyFont="1" applyBorder="1" applyAlignment="1">
      <alignment horizontal="center"/>
    </xf>
    <xf numFmtId="2" fontId="45" fillId="0" borderId="8" xfId="75" applyNumberFormat="1" applyFont="1" applyFill="1" applyBorder="1" applyAlignment="1">
      <alignment horizontal="center"/>
    </xf>
    <xf numFmtId="2" fontId="45" fillId="0" borderId="6" xfId="48" applyNumberFormat="1" applyFont="1" applyFill="1" applyBorder="1" applyAlignment="1">
      <alignment horizontal="center"/>
    </xf>
    <xf numFmtId="2" fontId="45" fillId="0" borderId="0" xfId="48" applyNumberFormat="1" applyFont="1" applyFill="1" applyAlignment="1">
      <alignment horizontal="center"/>
    </xf>
    <xf numFmtId="2" fontId="45" fillId="0" borderId="16" xfId="48" applyNumberFormat="1" applyFont="1" applyFill="1" applyBorder="1" applyAlignment="1">
      <alignment horizontal="center"/>
    </xf>
    <xf numFmtId="10" fontId="20" fillId="0" borderId="0" xfId="75" applyNumberFormat="1" applyFont="1" applyFill="1" applyBorder="1" applyAlignment="1">
      <alignment horizontal="center"/>
    </xf>
    <xf numFmtId="10" fontId="45" fillId="0" borderId="13" xfId="75" applyNumberFormat="1" applyFont="1" applyFill="1" applyBorder="1" applyAlignment="1">
      <alignment horizontal="center"/>
    </xf>
    <xf numFmtId="169" fontId="45" fillId="0" borderId="5" xfId="0" applyNumberFormat="1" applyFont="1" applyBorder="1" applyAlignment="1">
      <alignment horizontal="center"/>
    </xf>
    <xf numFmtId="0" fontId="20" fillId="0" borderId="6" xfId="0" applyFont="1" applyBorder="1" applyAlignment="1">
      <alignment horizontal="center"/>
    </xf>
    <xf numFmtId="188" fontId="45" fillId="0" borderId="0" xfId="49" applyNumberFormat="1" applyFont="1" applyBorder="1" applyAlignment="1">
      <alignment horizontal="center"/>
    </xf>
    <xf numFmtId="10" fontId="45" fillId="0" borderId="9" xfId="75" applyNumberFormat="1" applyFont="1" applyFill="1" applyBorder="1" applyAlignment="1">
      <alignment horizontal="center"/>
    </xf>
    <xf numFmtId="10" fontId="45" fillId="0" borderId="0" xfId="75" applyNumberFormat="1" applyFont="1" applyBorder="1" applyAlignment="1">
      <alignment horizontal="center"/>
    </xf>
    <xf numFmtId="4" fontId="45" fillId="0" borderId="5" xfId="0" applyNumberFormat="1" applyFont="1" applyBorder="1" applyAlignment="1">
      <alignment horizontal="center"/>
    </xf>
    <xf numFmtId="168" fontId="20" fillId="0" borderId="0" xfId="75" applyNumberFormat="1" applyFont="1" applyFill="1" applyBorder="1" applyAlignment="1">
      <alignment horizontal="center"/>
    </xf>
    <xf numFmtId="10" fontId="45" fillId="0" borderId="16" xfId="75" applyNumberFormat="1" applyFont="1" applyBorder="1" applyAlignment="1">
      <alignment horizontal="center"/>
    </xf>
    <xf numFmtId="0" fontId="45" fillId="0" borderId="7" xfId="48" applyFont="1" applyBorder="1" applyAlignment="1">
      <alignment horizontal="center"/>
    </xf>
    <xf numFmtId="10" fontId="20" fillId="0" borderId="17" xfId="75" applyNumberFormat="1" applyFont="1" applyFill="1" applyBorder="1" applyAlignment="1">
      <alignment horizontal="center"/>
    </xf>
    <xf numFmtId="169" fontId="45" fillId="0" borderId="8" xfId="49" applyNumberFormat="1" applyFont="1" applyBorder="1" applyAlignment="1">
      <alignment horizontal="center"/>
    </xf>
    <xf numFmtId="169" fontId="45" fillId="0" borderId="6" xfId="48" applyNumberFormat="1" applyFont="1" applyFill="1" applyBorder="1" applyAlignment="1">
      <alignment horizontal="center"/>
    </xf>
    <xf numFmtId="169" fontId="45" fillId="0" borderId="16" xfId="49" applyNumberFormat="1" applyFont="1" applyBorder="1" applyAlignment="1">
      <alignment horizontal="center"/>
    </xf>
    <xf numFmtId="3" fontId="45" fillId="0" borderId="6" xfId="50" applyNumberFormat="1" applyFont="1" applyBorder="1" applyAlignment="1">
      <alignment horizontal="center"/>
    </xf>
    <xf numFmtId="4" fontId="45" fillId="0" borderId="6" xfId="50" applyNumberFormat="1" applyFont="1" applyBorder="1" applyAlignment="1">
      <alignment horizontal="center"/>
    </xf>
    <xf numFmtId="168" fontId="45" fillId="0" borderId="6" xfId="75" applyNumberFormat="1" applyFont="1" applyBorder="1" applyAlignment="1">
      <alignment horizontal="center"/>
    </xf>
    <xf numFmtId="168" fontId="20" fillId="0" borderId="17" xfId="75" applyNumberFormat="1" applyFont="1" applyFill="1" applyBorder="1" applyAlignment="1">
      <alignment horizontal="center"/>
    </xf>
    <xf numFmtId="4" fontId="45" fillId="0" borderId="7" xfId="50" applyNumberFormat="1" applyFont="1" applyFill="1" applyBorder="1" applyAlignment="1">
      <alignment horizontal="center"/>
    </xf>
    <xf numFmtId="4" fontId="45" fillId="0" borderId="7" xfId="50" applyNumberFormat="1" applyFont="1" applyBorder="1" applyAlignment="1">
      <alignment horizontal="center"/>
    </xf>
    <xf numFmtId="168" fontId="45" fillId="0" borderId="7" xfId="75" applyNumberFormat="1" applyFont="1" applyBorder="1" applyAlignment="1">
      <alignment horizontal="center"/>
    </xf>
    <xf numFmtId="4" fontId="45" fillId="0" borderId="6" xfId="48" applyNumberFormat="1" applyFont="1" applyBorder="1" applyAlignment="1">
      <alignment horizontal="center"/>
    </xf>
    <xf numFmtId="168" fontId="45" fillId="0" borderId="6" xfId="75" applyNumberFormat="1" applyFont="1" applyBorder="1"/>
    <xf numFmtId="168" fontId="45" fillId="0" borderId="6" xfId="75" applyNumberFormat="1" applyFont="1" applyBorder="1" applyAlignment="1">
      <alignment horizontal="right"/>
    </xf>
    <xf numFmtId="168" fontId="45" fillId="0" borderId="5" xfId="75" applyNumberFormat="1" applyFont="1" applyBorder="1"/>
    <xf numFmtId="3" fontId="45" fillId="0" borderId="5" xfId="0" applyNumberFormat="1" applyFont="1" applyBorder="1" applyAlignment="1">
      <alignment horizontal="center"/>
    </xf>
    <xf numFmtId="3" fontId="45" fillId="0" borderId="7" xfId="0" applyNumberFormat="1" applyFont="1" applyBorder="1" applyAlignment="1">
      <alignment horizontal="center"/>
    </xf>
    <xf numFmtId="168" fontId="45" fillId="0" borderId="5" xfId="75" applyNumberFormat="1" applyFont="1" applyBorder="1" applyAlignment="1">
      <alignment horizontal="center"/>
    </xf>
    <xf numFmtId="205" fontId="20" fillId="0" borderId="16" xfId="0" applyNumberFormat="1" applyFont="1" applyBorder="1" applyAlignment="1">
      <alignment horizontal="center"/>
    </xf>
    <xf numFmtId="211" fontId="45" fillId="0" borderId="7" xfId="49" applyNumberFormat="1" applyFont="1" applyBorder="1" applyAlignment="1">
      <alignment horizontal="center"/>
    </xf>
    <xf numFmtId="169" fontId="45" fillId="0" borderId="16" xfId="0" applyNumberFormat="1" applyFont="1" applyBorder="1" applyAlignment="1">
      <alignment horizontal="center"/>
    </xf>
    <xf numFmtId="169" fontId="45" fillId="0" borderId="11" xfId="0" applyNumberFormat="1" applyFont="1" applyBorder="1" applyAlignment="1">
      <alignment horizontal="center"/>
    </xf>
    <xf numFmtId="169" fontId="45" fillId="0" borderId="17" xfId="0" applyNumberFormat="1" applyFont="1" applyBorder="1" applyAlignment="1">
      <alignment horizontal="center"/>
    </xf>
    <xf numFmtId="9" fontId="20" fillId="0" borderId="2" xfId="75" applyFont="1" applyBorder="1"/>
    <xf numFmtId="169" fontId="20" fillId="0" borderId="0" xfId="0" applyNumberFormat="1" applyFont="1" applyAlignment="1">
      <alignment horizontal="center"/>
    </xf>
    <xf numFmtId="169" fontId="64" fillId="0" borderId="0" xfId="0" applyNumberFormat="1" applyFont="1" applyAlignment="1">
      <alignment horizontal="center"/>
    </xf>
    <xf numFmtId="0" fontId="66" fillId="0" borderId="0" xfId="0" applyFont="1" applyAlignment="1">
      <alignment horizontal="right"/>
    </xf>
    <xf numFmtId="208" fontId="58" fillId="0" borderId="0" xfId="94" applyNumberFormat="1" applyFont="1" applyFill="1" applyBorder="1" applyAlignment="1">
      <alignment horizontal="right"/>
    </xf>
    <xf numFmtId="208" fontId="58" fillId="0" borderId="0" xfId="94" applyNumberFormat="1" applyFont="1" applyFill="1" applyAlignment="1">
      <alignment horizontal="right"/>
    </xf>
    <xf numFmtId="169" fontId="58" fillId="0" borderId="0" xfId="0" applyNumberFormat="1" applyFont="1"/>
    <xf numFmtId="0" fontId="45" fillId="0" borderId="0" xfId="75" applyNumberFormat="1" applyFont="1" applyBorder="1" applyAlignment="1">
      <alignment horizontal="center"/>
    </xf>
    <xf numFmtId="182" fontId="45" fillId="0" borderId="0" xfId="0" applyNumberFormat="1" applyFont="1" applyAlignment="1">
      <alignment horizontal="center"/>
    </xf>
    <xf numFmtId="182" fontId="44" fillId="35" borderId="0" xfId="75" applyNumberFormat="1" applyFont="1" applyFill="1" applyBorder="1" applyAlignment="1">
      <alignment horizontal="center"/>
    </xf>
    <xf numFmtId="0" fontId="45" fillId="0" borderId="0" xfId="0" applyFont="1" applyAlignment="1">
      <alignment horizontal="left" wrapText="1"/>
    </xf>
    <xf numFmtId="0" fontId="44" fillId="35" borderId="5" xfId="0" applyFont="1" applyFill="1" applyBorder="1" applyAlignment="1">
      <alignment horizontal="center" vertical="center" wrapText="1"/>
    </xf>
    <xf numFmtId="0" fontId="44" fillId="35" borderId="6" xfId="0" applyFont="1" applyFill="1" applyBorder="1" applyAlignment="1">
      <alignment horizontal="center" vertical="center" wrapText="1"/>
    </xf>
    <xf numFmtId="0" fontId="44" fillId="35" borderId="7" xfId="0" applyFont="1" applyFill="1" applyBorder="1" applyAlignment="1">
      <alignment horizontal="center" vertical="center" wrapText="1"/>
    </xf>
    <xf numFmtId="0" fontId="44" fillId="35" borderId="19" xfId="0" applyFont="1" applyFill="1" applyBorder="1" applyAlignment="1">
      <alignment horizontal="center" vertical="center"/>
    </xf>
    <xf numFmtId="0" fontId="44" fillId="35" borderId="18" xfId="0" applyFont="1" applyFill="1" applyBorder="1" applyAlignment="1">
      <alignment horizontal="center" vertical="center"/>
    </xf>
    <xf numFmtId="0" fontId="44" fillId="35" borderId="10" xfId="0" applyFont="1" applyFill="1" applyBorder="1" applyAlignment="1">
      <alignment horizontal="center" vertical="center"/>
    </xf>
    <xf numFmtId="0" fontId="44" fillId="35" borderId="19" xfId="0" applyFont="1" applyFill="1" applyBorder="1" applyAlignment="1">
      <alignment horizontal="center"/>
    </xf>
    <xf numFmtId="0" fontId="44" fillId="35" borderId="10" xfId="0" applyFont="1" applyFill="1" applyBorder="1" applyAlignment="1">
      <alignment horizontal="center"/>
    </xf>
    <xf numFmtId="0" fontId="44" fillId="35" borderId="0" xfId="0" applyFont="1" applyFill="1" applyAlignment="1">
      <alignment horizontal="center" vertical="center" wrapText="1"/>
    </xf>
    <xf numFmtId="0" fontId="44" fillId="35" borderId="0" xfId="0" applyFont="1" applyFill="1" applyAlignment="1">
      <alignment horizontal="center" vertical="center"/>
    </xf>
    <xf numFmtId="179" fontId="48" fillId="0" borderId="0" xfId="0" applyNumberFormat="1" applyFont="1" applyAlignment="1">
      <alignment horizontal="left" vertical="center" wrapText="1"/>
    </xf>
    <xf numFmtId="0" fontId="45" fillId="0" borderId="0" xfId="0" applyFont="1" applyAlignment="1">
      <alignment horizontal="left" vertical="center" wrapText="1"/>
    </xf>
    <xf numFmtId="3" fontId="45" fillId="0" borderId="0" xfId="48" applyNumberFormat="1" applyFont="1" applyFill="1" applyBorder="1" applyAlignment="1">
      <alignment horizontal="center"/>
    </xf>
    <xf numFmtId="0" fontId="44" fillId="0" borderId="0" xfId="0" applyFont="1" applyAlignment="1">
      <alignment horizontal="left" vertical="center"/>
    </xf>
    <xf numFmtId="0" fontId="44" fillId="36" borderId="0" xfId="0" applyFont="1" applyFill="1" applyAlignment="1">
      <alignment horizontal="center" vertical="center" wrapText="1"/>
    </xf>
    <xf numFmtId="0" fontId="45" fillId="0" borderId="0" xfId="0" applyFont="1" applyAlignment="1">
      <alignment horizontal="center" vertical="center"/>
    </xf>
    <xf numFmtId="0" fontId="44" fillId="2" borderId="0" xfId="0" applyFont="1" applyFill="1" applyAlignment="1">
      <alignment horizontal="center" vertical="top" wrapText="1"/>
    </xf>
    <xf numFmtId="172" fontId="45" fillId="0" borderId="0" xfId="48" applyNumberFormat="1" applyFont="1" applyBorder="1" applyAlignment="1">
      <alignment horizontal="center"/>
    </xf>
    <xf numFmtId="172" fontId="45" fillId="34" borderId="0" xfId="48" applyNumberFormat="1" applyFont="1" applyFill="1" applyBorder="1" applyAlignment="1">
      <alignment horizontal="center"/>
    </xf>
    <xf numFmtId="172" fontId="6" fillId="0" borderId="0" xfId="48" applyNumberFormat="1" applyFont="1" applyBorder="1" applyAlignment="1">
      <alignment horizontal="center"/>
    </xf>
    <xf numFmtId="164" fontId="45" fillId="34" borderId="0" xfId="49" applyFont="1" applyFill="1" applyBorder="1" applyAlignment="1">
      <alignment horizontal="center"/>
    </xf>
    <xf numFmtId="0" fontId="44" fillId="36" borderId="30" xfId="0" applyFont="1" applyFill="1" applyBorder="1" applyAlignment="1">
      <alignment horizontal="center" vertical="center" wrapText="1"/>
    </xf>
    <xf numFmtId="0" fontId="45" fillId="35" borderId="7" xfId="0" applyFont="1" applyFill="1" applyBorder="1" applyAlignment="1">
      <alignment horizontal="center" vertical="center" wrapText="1"/>
    </xf>
    <xf numFmtId="0" fontId="44" fillId="35" borderId="18" xfId="0" applyFont="1" applyFill="1" applyBorder="1" applyAlignment="1">
      <alignment horizontal="center"/>
    </xf>
    <xf numFmtId="0" fontId="45" fillId="0" borderId="0" xfId="0" applyFont="1" applyAlignment="1">
      <alignment horizontal="center" vertical="center" wrapText="1"/>
    </xf>
    <xf numFmtId="0" fontId="45" fillId="35" borderId="0" xfId="0" applyFont="1" applyFill="1" applyAlignment="1">
      <alignment horizontal="center" vertical="center" wrapText="1"/>
    </xf>
    <xf numFmtId="182" fontId="45" fillId="0" borderId="0" xfId="75" applyNumberFormat="1" applyFont="1" applyBorder="1" applyAlignment="1">
      <alignment horizontal="center"/>
    </xf>
    <xf numFmtId="0" fontId="45" fillId="35" borderId="19" xfId="0" applyFont="1" applyFill="1" applyBorder="1" applyAlignment="1">
      <alignment horizontal="center" vertical="center" wrapText="1"/>
    </xf>
    <xf numFmtId="0" fontId="45" fillId="35" borderId="18" xfId="0" applyFont="1" applyFill="1" applyBorder="1" applyAlignment="1">
      <alignment horizontal="center" vertical="center" wrapText="1"/>
    </xf>
    <xf numFmtId="0" fontId="45" fillId="35" borderId="10" xfId="0" applyFont="1" applyFill="1" applyBorder="1" applyAlignment="1">
      <alignment horizontal="center" vertical="center" wrapText="1"/>
    </xf>
    <xf numFmtId="0" fontId="45" fillId="35" borderId="5" xfId="0" applyFont="1" applyFill="1" applyBorder="1" applyAlignment="1">
      <alignment horizontal="center" vertical="center" wrapText="1"/>
    </xf>
    <xf numFmtId="0" fontId="45" fillId="35" borderId="6" xfId="0" applyFont="1" applyFill="1" applyBorder="1" applyAlignment="1">
      <alignment horizontal="center" vertical="center" wrapText="1"/>
    </xf>
    <xf numFmtId="0" fontId="45" fillId="35" borderId="5" xfId="0" applyFont="1" applyFill="1" applyBorder="1" applyAlignment="1">
      <alignment horizontal="center" vertical="center"/>
    </xf>
    <xf numFmtId="0" fontId="45" fillId="35" borderId="7" xfId="0" applyFont="1" applyFill="1" applyBorder="1" applyAlignment="1">
      <alignment horizontal="center" vertical="center"/>
    </xf>
    <xf numFmtId="0" fontId="45" fillId="0" borderId="9" xfId="0" applyFont="1" applyBorder="1" applyAlignment="1">
      <alignment horizontal="left" wrapText="1"/>
    </xf>
  </cellXfs>
  <cellStyles count="110">
    <cellStyle name="20% - Énfasis1 2" xfId="1" xr:uid="{00000000-0005-0000-0000-000000000000}"/>
    <cellStyle name="20% - Énfasis2 2" xfId="2" xr:uid="{00000000-0005-0000-0000-000001000000}"/>
    <cellStyle name="20% - Énfasis3 2" xfId="3" xr:uid="{00000000-0005-0000-0000-000002000000}"/>
    <cellStyle name="20% - Énfasis4 2" xfId="4" xr:uid="{00000000-0005-0000-0000-000003000000}"/>
    <cellStyle name="20% - Énfasis5" xfId="5" builtinId="46" customBuiltin="1"/>
    <cellStyle name="20% - Énfasis6" xfId="6" builtinId="50" customBuiltin="1"/>
    <cellStyle name="40% - Énfasis1" xfId="7" builtinId="31" customBuiltin="1"/>
    <cellStyle name="40% - Énfasis2" xfId="8" builtinId="35" customBuiltin="1"/>
    <cellStyle name="40% - Énfasis3 2" xfId="9" xr:uid="{00000000-0005-0000-0000-000008000000}"/>
    <cellStyle name="40% - Énfasis4" xfId="10" builtinId="43" customBuiltin="1"/>
    <cellStyle name="40% - Énfasis5" xfId="11" builtinId="47" customBuiltin="1"/>
    <cellStyle name="40% - Énfasis6" xfId="12" builtinId="51" customBuiltin="1"/>
    <cellStyle name="60% - Énfasis1" xfId="13" builtinId="32" customBuiltin="1"/>
    <cellStyle name="60% - Énfasis2" xfId="14" builtinId="36" customBuiltin="1"/>
    <cellStyle name="60% - Énfasis3 2" xfId="15" xr:uid="{00000000-0005-0000-0000-00000E000000}"/>
    <cellStyle name="60% - Énfasis4 2" xfId="16" xr:uid="{00000000-0005-0000-0000-00000F000000}"/>
    <cellStyle name="60% - Énfasis5" xfId="17" builtinId="48" customBuiltin="1"/>
    <cellStyle name="60% - Énfasis6 2" xfId="18" xr:uid="{00000000-0005-0000-0000-000011000000}"/>
    <cellStyle name="Cálculo" xfId="19" builtinId="22" customBuiltin="1"/>
    <cellStyle name="Cambiar to&amp;do" xfId="20" xr:uid="{00000000-0005-0000-0000-000013000000}"/>
    <cellStyle name="Cambiar to&amp;do 2" xfId="21" xr:uid="{00000000-0005-0000-0000-000014000000}"/>
    <cellStyle name="Celda de comprobación" xfId="22" builtinId="23" customBuiltin="1"/>
    <cellStyle name="Celda vinculada" xfId="23" builtinId="24" customBuiltin="1"/>
    <cellStyle name="Diseño" xfId="24" xr:uid="{00000000-0005-0000-0000-000017000000}"/>
    <cellStyle name="Diseño 2" xfId="95" xr:uid="{61DE4F01-6B22-4E5A-AB7B-8B54103B6204}"/>
    <cellStyle name="Encabezado 1 2" xfId="25" xr:uid="{00000000-0005-0000-0000-000018000000}"/>
    <cellStyle name="Encabezado 2" xfId="26" xr:uid="{00000000-0005-0000-0000-000019000000}"/>
    <cellStyle name="Encabezado 4" xfId="27" builtinId="19" customBuiltin="1"/>
    <cellStyle name="Énfasis1" xfId="28" builtinId="29" customBuiltin="1"/>
    <cellStyle name="Énfasis2" xfId="29" builtinId="33" customBuiltin="1"/>
    <cellStyle name="Énfasis3" xfId="30" builtinId="37" customBuiltin="1"/>
    <cellStyle name="Énfasis4" xfId="31" builtinId="41" customBuiltin="1"/>
    <cellStyle name="Énfasis5" xfId="32" builtinId="45" customBuiltin="1"/>
    <cellStyle name="Énfasis6" xfId="33" builtinId="49" customBuiltin="1"/>
    <cellStyle name="Entrada" xfId="34" builtinId="20" customBuiltin="1"/>
    <cellStyle name="Euro" xfId="35" xr:uid="{00000000-0005-0000-0000-000022000000}"/>
    <cellStyle name="Euro 2" xfId="36" xr:uid="{00000000-0005-0000-0000-000023000000}"/>
    <cellStyle name="Euro 3" xfId="37" xr:uid="{00000000-0005-0000-0000-000024000000}"/>
    <cellStyle name="Euro 4" xfId="38" xr:uid="{00000000-0005-0000-0000-000025000000}"/>
    <cellStyle name="Fecha" xfId="39" xr:uid="{00000000-0005-0000-0000-000026000000}"/>
    <cellStyle name="Fechas" xfId="40" xr:uid="{00000000-0005-0000-0000-000027000000}"/>
    <cellStyle name="Fechas 2" xfId="97" xr:uid="{7A72120D-0DF0-4888-8A40-24C264A0B41F}"/>
    <cellStyle name="Fijo" xfId="41" xr:uid="{00000000-0005-0000-0000-000028000000}"/>
    <cellStyle name="Fixed" xfId="42" xr:uid="{00000000-0005-0000-0000-000029000000}"/>
    <cellStyle name="Fixed 2" xfId="43" xr:uid="{00000000-0005-0000-0000-00002A000000}"/>
    <cellStyle name="HEADING1" xfId="44" xr:uid="{00000000-0005-0000-0000-00002B000000}"/>
    <cellStyle name="HEADING2" xfId="45" xr:uid="{00000000-0005-0000-0000-00002C000000}"/>
    <cellStyle name="Hipervínculo 2" xfId="46" xr:uid="{00000000-0005-0000-0000-00002D000000}"/>
    <cellStyle name="Incorrecto" xfId="47" builtinId="27" customBuiltin="1"/>
    <cellStyle name="Millares" xfId="48" builtinId="3"/>
    <cellStyle name="Millares [0]" xfId="49" builtinId="6"/>
    <cellStyle name="Millares 2" xfId="50" xr:uid="{00000000-0005-0000-0000-000031000000}"/>
    <cellStyle name="Millares 2 2" xfId="51" xr:uid="{00000000-0005-0000-0000-000032000000}"/>
    <cellStyle name="Millares 2 2 2" xfId="99" xr:uid="{B2739B5B-C42C-41F1-9641-C6408BB0C777}"/>
    <cellStyle name="Millares 2 2 3" xfId="98" xr:uid="{5240626E-E3BC-40B4-BC26-49BF76445FEC}"/>
    <cellStyle name="Millares 2 3" xfId="52" xr:uid="{00000000-0005-0000-0000-000033000000}"/>
    <cellStyle name="Millares 2 3 2" xfId="100" xr:uid="{2BCD391B-5352-4AB5-9424-F9B4C1ED3EF5}"/>
    <cellStyle name="Millares 2 4" xfId="94" xr:uid="{BC481A76-520E-47F6-97E8-03BD4EC074A1}"/>
    <cellStyle name="Millares 3" xfId="53" xr:uid="{00000000-0005-0000-0000-000034000000}"/>
    <cellStyle name="Millares 3 2" xfId="101" xr:uid="{EE869607-27A2-4B9B-A870-B34C1553D061}"/>
    <cellStyle name="Millares 4" xfId="54" xr:uid="{00000000-0005-0000-0000-000035000000}"/>
    <cellStyle name="Millares 5" xfId="55" xr:uid="{00000000-0005-0000-0000-000036000000}"/>
    <cellStyle name="Millares 6" xfId="56" xr:uid="{00000000-0005-0000-0000-000037000000}"/>
    <cellStyle name="Millares 7" xfId="96" xr:uid="{3760523C-6CDD-4A12-8B43-28A90F2BDE8A}"/>
    <cellStyle name="Millares Sangría" xfId="57" xr:uid="{00000000-0005-0000-0000-000038000000}"/>
    <cellStyle name="Millares Sangría 1" xfId="58" xr:uid="{00000000-0005-0000-0000-000039000000}"/>
    <cellStyle name="Moneda" xfId="59" builtinId="4"/>
    <cellStyle name="Moneda 2" xfId="60" xr:uid="{00000000-0005-0000-0000-00003B000000}"/>
    <cellStyle name="Moneda0" xfId="61" xr:uid="{00000000-0005-0000-0000-00003C000000}"/>
    <cellStyle name="Moneda0 2" xfId="62" xr:uid="{00000000-0005-0000-0000-00003D000000}"/>
    <cellStyle name="Moneda0 2 2" xfId="103" xr:uid="{AA2480D5-D914-41F7-8598-B9B5E8AFA5A8}"/>
    <cellStyle name="Moneda0 3" xfId="102" xr:uid="{0EE9C75C-1C97-4ED7-A611-EA4328F0F511}"/>
    <cellStyle name="Neutral" xfId="63" builtinId="28" customBuiltin="1"/>
    <cellStyle name="Normal" xfId="0" builtinId="0"/>
    <cellStyle name="Normal 2" xfId="64" xr:uid="{00000000-0005-0000-0000-000040000000}"/>
    <cellStyle name="Normal 2 2" xfId="65" xr:uid="{00000000-0005-0000-0000-000041000000}"/>
    <cellStyle name="Normal 2 2 2" xfId="105" xr:uid="{1B2B20CC-D364-4BFA-BF68-7F6F6E029EB4}"/>
    <cellStyle name="Normal 2 2 3" xfId="104" xr:uid="{C89D0A24-3E1A-4064-B412-38F480B6BE12}"/>
    <cellStyle name="Normal 2 3" xfId="66" xr:uid="{00000000-0005-0000-0000-000042000000}"/>
    <cellStyle name="Normal 2 3 2" xfId="106" xr:uid="{2234DF61-B160-4108-A740-07C51ABB52F3}"/>
    <cellStyle name="Normal 2 4" xfId="67" xr:uid="{00000000-0005-0000-0000-000043000000}"/>
    <cellStyle name="Normal 3" xfId="68" xr:uid="{00000000-0005-0000-0000-000044000000}"/>
    <cellStyle name="Normal 3 2" xfId="107" xr:uid="{B61305D1-546A-4B17-81BC-C36978F9732E}"/>
    <cellStyle name="Normal 4" xfId="69" xr:uid="{00000000-0005-0000-0000-000045000000}"/>
    <cellStyle name="Normal 5" xfId="70" xr:uid="{00000000-0005-0000-0000-000046000000}"/>
    <cellStyle name="Normal 6" xfId="71" xr:uid="{00000000-0005-0000-0000-000047000000}"/>
    <cellStyle name="Normal 7" xfId="108" xr:uid="{0D7233FB-F6D7-414B-B80E-17F5018397FD}"/>
    <cellStyle name="Normal 8" xfId="92" xr:uid="{616E16F9-90DF-443A-B751-2A8693E0A115}"/>
    <cellStyle name="Normal_México." xfId="72" xr:uid="{00000000-0005-0000-0000-000048000000}"/>
    <cellStyle name="Notas 2" xfId="73" xr:uid="{00000000-0005-0000-0000-000049000000}"/>
    <cellStyle name="Original" xfId="74" xr:uid="{00000000-0005-0000-0000-00004A000000}"/>
    <cellStyle name="Porcentaje" xfId="75" builtinId="5"/>
    <cellStyle name="Porcentaje 2" xfId="76" xr:uid="{00000000-0005-0000-0000-00004C000000}"/>
    <cellStyle name="Porcentaje 3" xfId="77" xr:uid="{00000000-0005-0000-0000-00004D000000}"/>
    <cellStyle name="Porcentaje 4" xfId="78" xr:uid="{00000000-0005-0000-0000-00004E000000}"/>
    <cellStyle name="Porcentaje 5" xfId="93" xr:uid="{DCD07E36-F597-43D2-80D5-1F1BA47A53A5}"/>
    <cellStyle name="Porcentual 2" xfId="79" xr:uid="{00000000-0005-0000-0000-00004F000000}"/>
    <cellStyle name="Porcentual 3" xfId="80" xr:uid="{00000000-0005-0000-0000-000050000000}"/>
    <cellStyle name="Punto0" xfId="81" xr:uid="{00000000-0005-0000-0000-000051000000}"/>
    <cellStyle name="Punto0 2" xfId="82" xr:uid="{00000000-0005-0000-0000-000052000000}"/>
    <cellStyle name="Salida" xfId="83" builtinId="21" customBuiltin="1"/>
    <cellStyle name="Texto de advertencia" xfId="84" builtinId="11" customBuiltin="1"/>
    <cellStyle name="Texto explicativo" xfId="85" builtinId="53" customBuiltin="1"/>
    <cellStyle name="Título" xfId="86" builtinId="15" customBuiltin="1"/>
    <cellStyle name="Título 1 2" xfId="87" xr:uid="{00000000-0005-0000-0000-000057000000}"/>
    <cellStyle name="Título 2" xfId="88" builtinId="17" customBuiltin="1"/>
    <cellStyle name="Título 3" xfId="89" builtinId="18" customBuiltin="1"/>
    <cellStyle name="Total 2" xfId="90" xr:uid="{00000000-0005-0000-0000-00005A000000}"/>
    <cellStyle name="Total 2 2" xfId="109" xr:uid="{2ABACCC0-475D-4DEB-8779-700EB18043A7}"/>
    <cellStyle name="Total 3" xfId="91" xr:uid="{00000000-0005-0000-0000-00005B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9CC"/>
      <rgbColor rgb="00CC99FF"/>
      <rgbColor rgb="00E3E3E3"/>
      <rgbColor rgb="003366FF"/>
      <rgbColor rgb="0033CCCC"/>
      <rgbColor rgb="00339933"/>
      <rgbColor rgb="00BBBB3E"/>
      <rgbColor rgb="00D8D88B"/>
      <rgbColor rgb="00E4E4AF"/>
      <rgbColor rgb="00DBD6AB"/>
      <rgbColor rgb="00969696"/>
      <rgbColor rgb="003333CC"/>
      <rgbColor rgb="00666534"/>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xdr:from>
      <xdr:col>1</xdr:col>
      <xdr:colOff>85725</xdr:colOff>
      <xdr:row>2</xdr:row>
      <xdr:rowOff>180975</xdr:rowOff>
    </xdr:from>
    <xdr:to>
      <xdr:col>8</xdr:col>
      <xdr:colOff>9525</xdr:colOff>
      <xdr:row>3</xdr:row>
      <xdr:rowOff>38100</xdr:rowOff>
    </xdr:to>
    <xdr:sp macro="" textlink="">
      <xdr:nvSpPr>
        <xdr:cNvPr id="64617" name="Rectangle 1">
          <a:extLst>
            <a:ext uri="{FF2B5EF4-FFF2-40B4-BE49-F238E27FC236}">
              <a16:creationId xmlns:a16="http://schemas.microsoft.com/office/drawing/2014/main" id="{D9BE2D65-18E2-44B9-8B0F-1D8F1C1767CC}"/>
            </a:ext>
          </a:extLst>
        </xdr:cNvPr>
        <xdr:cNvSpPr>
          <a:spLocks noChangeArrowheads="1"/>
        </xdr:cNvSpPr>
      </xdr:nvSpPr>
      <xdr:spPr bwMode="auto">
        <a:xfrm>
          <a:off x="1085850" y="400050"/>
          <a:ext cx="3905250" cy="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19</xdr:row>
      <xdr:rowOff>0</xdr:rowOff>
    </xdr:from>
    <xdr:to>
      <xdr:col>8</xdr:col>
      <xdr:colOff>38100</xdr:colOff>
      <xdr:row>19</xdr:row>
      <xdr:rowOff>28575</xdr:rowOff>
    </xdr:to>
    <xdr:sp macro="" textlink="">
      <xdr:nvSpPr>
        <xdr:cNvPr id="64618" name="Rectangle 3">
          <a:extLst>
            <a:ext uri="{FF2B5EF4-FFF2-40B4-BE49-F238E27FC236}">
              <a16:creationId xmlns:a16="http://schemas.microsoft.com/office/drawing/2014/main" id="{0D15BA30-D2F1-42EE-8C71-E4A0847BDAAB}"/>
            </a:ext>
          </a:extLst>
        </xdr:cNvPr>
        <xdr:cNvSpPr>
          <a:spLocks noChangeArrowheads="1"/>
        </xdr:cNvSpPr>
      </xdr:nvSpPr>
      <xdr:spPr bwMode="auto">
        <a:xfrm>
          <a:off x="1085850" y="704850"/>
          <a:ext cx="3933825" cy="285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19</xdr:row>
      <xdr:rowOff>0</xdr:rowOff>
    </xdr:from>
    <xdr:to>
      <xdr:col>8</xdr:col>
      <xdr:colOff>38100</xdr:colOff>
      <xdr:row>19</xdr:row>
      <xdr:rowOff>28575</xdr:rowOff>
    </xdr:to>
    <xdr:sp macro="" textlink="">
      <xdr:nvSpPr>
        <xdr:cNvPr id="64619" name="Rectangle 3">
          <a:extLst>
            <a:ext uri="{FF2B5EF4-FFF2-40B4-BE49-F238E27FC236}">
              <a16:creationId xmlns:a16="http://schemas.microsoft.com/office/drawing/2014/main" id="{F382909E-B283-4618-941B-9B1F7F943C40}"/>
            </a:ext>
          </a:extLst>
        </xdr:cNvPr>
        <xdr:cNvSpPr>
          <a:spLocks noChangeArrowheads="1"/>
        </xdr:cNvSpPr>
      </xdr:nvSpPr>
      <xdr:spPr bwMode="auto">
        <a:xfrm>
          <a:off x="1085850" y="704850"/>
          <a:ext cx="3933825" cy="285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38</xdr:row>
      <xdr:rowOff>0</xdr:rowOff>
    </xdr:from>
    <xdr:to>
      <xdr:col>8</xdr:col>
      <xdr:colOff>38100</xdr:colOff>
      <xdr:row>38</xdr:row>
      <xdr:rowOff>28575</xdr:rowOff>
    </xdr:to>
    <xdr:sp macro="" textlink="">
      <xdr:nvSpPr>
        <xdr:cNvPr id="64620" name="Rectangle 3">
          <a:extLst>
            <a:ext uri="{FF2B5EF4-FFF2-40B4-BE49-F238E27FC236}">
              <a16:creationId xmlns:a16="http://schemas.microsoft.com/office/drawing/2014/main" id="{76A0A1E0-0A33-4907-874D-7999A74D5C04}"/>
            </a:ext>
          </a:extLst>
        </xdr:cNvPr>
        <xdr:cNvSpPr>
          <a:spLocks noChangeArrowheads="1"/>
        </xdr:cNvSpPr>
      </xdr:nvSpPr>
      <xdr:spPr bwMode="auto">
        <a:xfrm>
          <a:off x="1085850" y="4162425"/>
          <a:ext cx="3933825" cy="285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38</xdr:row>
      <xdr:rowOff>0</xdr:rowOff>
    </xdr:from>
    <xdr:to>
      <xdr:col>8</xdr:col>
      <xdr:colOff>38100</xdr:colOff>
      <xdr:row>38</xdr:row>
      <xdr:rowOff>28575</xdr:rowOff>
    </xdr:to>
    <xdr:sp macro="" textlink="">
      <xdr:nvSpPr>
        <xdr:cNvPr id="64621" name="Rectangle 3">
          <a:extLst>
            <a:ext uri="{FF2B5EF4-FFF2-40B4-BE49-F238E27FC236}">
              <a16:creationId xmlns:a16="http://schemas.microsoft.com/office/drawing/2014/main" id="{0E25FB3A-CF2C-4D14-AE4E-0A7A59229A51}"/>
            </a:ext>
          </a:extLst>
        </xdr:cNvPr>
        <xdr:cNvSpPr>
          <a:spLocks noChangeArrowheads="1"/>
        </xdr:cNvSpPr>
      </xdr:nvSpPr>
      <xdr:spPr bwMode="auto">
        <a:xfrm>
          <a:off x="1085850" y="4162425"/>
          <a:ext cx="3933825" cy="285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57</xdr:row>
      <xdr:rowOff>0</xdr:rowOff>
    </xdr:from>
    <xdr:to>
      <xdr:col>8</xdr:col>
      <xdr:colOff>38100</xdr:colOff>
      <xdr:row>57</xdr:row>
      <xdr:rowOff>28575</xdr:rowOff>
    </xdr:to>
    <xdr:sp macro="" textlink="">
      <xdr:nvSpPr>
        <xdr:cNvPr id="64622" name="Rectangle 3">
          <a:extLst>
            <a:ext uri="{FF2B5EF4-FFF2-40B4-BE49-F238E27FC236}">
              <a16:creationId xmlns:a16="http://schemas.microsoft.com/office/drawing/2014/main" id="{4E685041-55E4-45C4-8649-2E088C33E96E}"/>
            </a:ext>
          </a:extLst>
        </xdr:cNvPr>
        <xdr:cNvSpPr>
          <a:spLocks noChangeArrowheads="1"/>
        </xdr:cNvSpPr>
      </xdr:nvSpPr>
      <xdr:spPr bwMode="auto">
        <a:xfrm>
          <a:off x="1085850" y="7305675"/>
          <a:ext cx="3933825" cy="285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57</xdr:row>
      <xdr:rowOff>0</xdr:rowOff>
    </xdr:from>
    <xdr:to>
      <xdr:col>8</xdr:col>
      <xdr:colOff>38100</xdr:colOff>
      <xdr:row>57</xdr:row>
      <xdr:rowOff>28575</xdr:rowOff>
    </xdr:to>
    <xdr:sp macro="" textlink="">
      <xdr:nvSpPr>
        <xdr:cNvPr id="64623" name="Rectangle 3">
          <a:extLst>
            <a:ext uri="{FF2B5EF4-FFF2-40B4-BE49-F238E27FC236}">
              <a16:creationId xmlns:a16="http://schemas.microsoft.com/office/drawing/2014/main" id="{4382C5BA-490A-443E-86F4-FA7011D2C426}"/>
            </a:ext>
          </a:extLst>
        </xdr:cNvPr>
        <xdr:cNvSpPr>
          <a:spLocks noChangeArrowheads="1"/>
        </xdr:cNvSpPr>
      </xdr:nvSpPr>
      <xdr:spPr bwMode="auto">
        <a:xfrm>
          <a:off x="1085850" y="7305675"/>
          <a:ext cx="3933825" cy="285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76</xdr:row>
      <xdr:rowOff>0</xdr:rowOff>
    </xdr:from>
    <xdr:to>
      <xdr:col>8</xdr:col>
      <xdr:colOff>38100</xdr:colOff>
      <xdr:row>76</xdr:row>
      <xdr:rowOff>28575</xdr:rowOff>
    </xdr:to>
    <xdr:sp macro="" textlink="">
      <xdr:nvSpPr>
        <xdr:cNvPr id="64624" name="Rectangle 3">
          <a:extLst>
            <a:ext uri="{FF2B5EF4-FFF2-40B4-BE49-F238E27FC236}">
              <a16:creationId xmlns:a16="http://schemas.microsoft.com/office/drawing/2014/main" id="{AE989AC6-A976-4807-8696-D459A71867C3}"/>
            </a:ext>
          </a:extLst>
        </xdr:cNvPr>
        <xdr:cNvSpPr>
          <a:spLocks noChangeArrowheads="1"/>
        </xdr:cNvSpPr>
      </xdr:nvSpPr>
      <xdr:spPr bwMode="auto">
        <a:xfrm>
          <a:off x="1085850" y="10448925"/>
          <a:ext cx="3933825" cy="285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76</xdr:row>
      <xdr:rowOff>0</xdr:rowOff>
    </xdr:from>
    <xdr:to>
      <xdr:col>8</xdr:col>
      <xdr:colOff>38100</xdr:colOff>
      <xdr:row>76</xdr:row>
      <xdr:rowOff>28575</xdr:rowOff>
    </xdr:to>
    <xdr:sp macro="" textlink="">
      <xdr:nvSpPr>
        <xdr:cNvPr id="64625" name="Rectangle 3">
          <a:extLst>
            <a:ext uri="{FF2B5EF4-FFF2-40B4-BE49-F238E27FC236}">
              <a16:creationId xmlns:a16="http://schemas.microsoft.com/office/drawing/2014/main" id="{020A1974-323E-48BC-9B10-90620905CDDA}"/>
            </a:ext>
          </a:extLst>
        </xdr:cNvPr>
        <xdr:cNvSpPr>
          <a:spLocks noChangeArrowheads="1"/>
        </xdr:cNvSpPr>
      </xdr:nvSpPr>
      <xdr:spPr bwMode="auto">
        <a:xfrm>
          <a:off x="1085850" y="10448925"/>
          <a:ext cx="3933825" cy="285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95</xdr:row>
      <xdr:rowOff>0</xdr:rowOff>
    </xdr:from>
    <xdr:to>
      <xdr:col>8</xdr:col>
      <xdr:colOff>38100</xdr:colOff>
      <xdr:row>95</xdr:row>
      <xdr:rowOff>28575</xdr:rowOff>
    </xdr:to>
    <xdr:sp macro="" textlink="">
      <xdr:nvSpPr>
        <xdr:cNvPr id="64626" name="Rectangle 3">
          <a:extLst>
            <a:ext uri="{FF2B5EF4-FFF2-40B4-BE49-F238E27FC236}">
              <a16:creationId xmlns:a16="http://schemas.microsoft.com/office/drawing/2014/main" id="{8774A80C-D89A-4939-A459-4D7670FCFB46}"/>
            </a:ext>
          </a:extLst>
        </xdr:cNvPr>
        <xdr:cNvSpPr>
          <a:spLocks noChangeArrowheads="1"/>
        </xdr:cNvSpPr>
      </xdr:nvSpPr>
      <xdr:spPr bwMode="auto">
        <a:xfrm>
          <a:off x="1085850" y="13592175"/>
          <a:ext cx="3933825" cy="285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95</xdr:row>
      <xdr:rowOff>0</xdr:rowOff>
    </xdr:from>
    <xdr:to>
      <xdr:col>8</xdr:col>
      <xdr:colOff>38100</xdr:colOff>
      <xdr:row>95</xdr:row>
      <xdr:rowOff>28575</xdr:rowOff>
    </xdr:to>
    <xdr:sp macro="" textlink="">
      <xdr:nvSpPr>
        <xdr:cNvPr id="64627" name="Rectangle 3">
          <a:extLst>
            <a:ext uri="{FF2B5EF4-FFF2-40B4-BE49-F238E27FC236}">
              <a16:creationId xmlns:a16="http://schemas.microsoft.com/office/drawing/2014/main" id="{72652CA4-CB8A-43A4-B171-84E153AE15F7}"/>
            </a:ext>
          </a:extLst>
        </xdr:cNvPr>
        <xdr:cNvSpPr>
          <a:spLocks noChangeArrowheads="1"/>
        </xdr:cNvSpPr>
      </xdr:nvSpPr>
      <xdr:spPr bwMode="auto">
        <a:xfrm>
          <a:off x="1085850" y="13592175"/>
          <a:ext cx="3933825" cy="285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116</xdr:row>
      <xdr:rowOff>0</xdr:rowOff>
    </xdr:from>
    <xdr:to>
      <xdr:col>8</xdr:col>
      <xdr:colOff>38100</xdr:colOff>
      <xdr:row>116</xdr:row>
      <xdr:rowOff>28575</xdr:rowOff>
    </xdr:to>
    <xdr:sp macro="" textlink="">
      <xdr:nvSpPr>
        <xdr:cNvPr id="64628" name="Rectangle 3">
          <a:extLst>
            <a:ext uri="{FF2B5EF4-FFF2-40B4-BE49-F238E27FC236}">
              <a16:creationId xmlns:a16="http://schemas.microsoft.com/office/drawing/2014/main" id="{C6CA76BE-158F-4769-8B2D-3E7581F43867}"/>
            </a:ext>
          </a:extLst>
        </xdr:cNvPr>
        <xdr:cNvSpPr>
          <a:spLocks noChangeArrowheads="1"/>
        </xdr:cNvSpPr>
      </xdr:nvSpPr>
      <xdr:spPr bwMode="auto">
        <a:xfrm>
          <a:off x="1085850" y="17211675"/>
          <a:ext cx="3933825" cy="285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116</xdr:row>
      <xdr:rowOff>0</xdr:rowOff>
    </xdr:from>
    <xdr:to>
      <xdr:col>8</xdr:col>
      <xdr:colOff>38100</xdr:colOff>
      <xdr:row>116</xdr:row>
      <xdr:rowOff>28575</xdr:rowOff>
    </xdr:to>
    <xdr:sp macro="" textlink="">
      <xdr:nvSpPr>
        <xdr:cNvPr id="64629" name="Rectangle 3">
          <a:extLst>
            <a:ext uri="{FF2B5EF4-FFF2-40B4-BE49-F238E27FC236}">
              <a16:creationId xmlns:a16="http://schemas.microsoft.com/office/drawing/2014/main" id="{AB9A01B9-AE38-4A4D-A482-C21AEAA0C8A6}"/>
            </a:ext>
          </a:extLst>
        </xdr:cNvPr>
        <xdr:cNvSpPr>
          <a:spLocks noChangeArrowheads="1"/>
        </xdr:cNvSpPr>
      </xdr:nvSpPr>
      <xdr:spPr bwMode="auto">
        <a:xfrm>
          <a:off x="1085850" y="17211675"/>
          <a:ext cx="3933825" cy="285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137</xdr:row>
      <xdr:rowOff>0</xdr:rowOff>
    </xdr:from>
    <xdr:to>
      <xdr:col>8</xdr:col>
      <xdr:colOff>38100</xdr:colOff>
      <xdr:row>137</xdr:row>
      <xdr:rowOff>28575</xdr:rowOff>
    </xdr:to>
    <xdr:sp macro="" textlink="">
      <xdr:nvSpPr>
        <xdr:cNvPr id="64630" name="Rectangle 3">
          <a:extLst>
            <a:ext uri="{FF2B5EF4-FFF2-40B4-BE49-F238E27FC236}">
              <a16:creationId xmlns:a16="http://schemas.microsoft.com/office/drawing/2014/main" id="{1044C5AF-3E6D-40F7-86E2-263A14960231}"/>
            </a:ext>
          </a:extLst>
        </xdr:cNvPr>
        <xdr:cNvSpPr>
          <a:spLocks noChangeArrowheads="1"/>
        </xdr:cNvSpPr>
      </xdr:nvSpPr>
      <xdr:spPr bwMode="auto">
        <a:xfrm>
          <a:off x="1085850" y="21021675"/>
          <a:ext cx="3933825" cy="285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137</xdr:row>
      <xdr:rowOff>0</xdr:rowOff>
    </xdr:from>
    <xdr:to>
      <xdr:col>8</xdr:col>
      <xdr:colOff>38100</xdr:colOff>
      <xdr:row>137</xdr:row>
      <xdr:rowOff>28575</xdr:rowOff>
    </xdr:to>
    <xdr:sp macro="" textlink="">
      <xdr:nvSpPr>
        <xdr:cNvPr id="64631" name="Rectangle 3">
          <a:extLst>
            <a:ext uri="{FF2B5EF4-FFF2-40B4-BE49-F238E27FC236}">
              <a16:creationId xmlns:a16="http://schemas.microsoft.com/office/drawing/2014/main" id="{A28C1046-2F75-47A3-A1FB-4E2E11BADADE}"/>
            </a:ext>
          </a:extLst>
        </xdr:cNvPr>
        <xdr:cNvSpPr>
          <a:spLocks noChangeArrowheads="1"/>
        </xdr:cNvSpPr>
      </xdr:nvSpPr>
      <xdr:spPr bwMode="auto">
        <a:xfrm>
          <a:off x="1085850" y="21021675"/>
          <a:ext cx="3933825" cy="285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158</xdr:row>
      <xdr:rowOff>0</xdr:rowOff>
    </xdr:from>
    <xdr:to>
      <xdr:col>8</xdr:col>
      <xdr:colOff>38100</xdr:colOff>
      <xdr:row>158</xdr:row>
      <xdr:rowOff>28575</xdr:rowOff>
    </xdr:to>
    <xdr:sp macro="" textlink="">
      <xdr:nvSpPr>
        <xdr:cNvPr id="64632" name="Rectangle 3">
          <a:extLst>
            <a:ext uri="{FF2B5EF4-FFF2-40B4-BE49-F238E27FC236}">
              <a16:creationId xmlns:a16="http://schemas.microsoft.com/office/drawing/2014/main" id="{298BA216-31B2-4113-B1BF-822FB012E8EE}"/>
            </a:ext>
          </a:extLst>
        </xdr:cNvPr>
        <xdr:cNvSpPr>
          <a:spLocks noChangeArrowheads="1"/>
        </xdr:cNvSpPr>
      </xdr:nvSpPr>
      <xdr:spPr bwMode="auto">
        <a:xfrm>
          <a:off x="1085850" y="24831675"/>
          <a:ext cx="3933825" cy="285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158</xdr:row>
      <xdr:rowOff>0</xdr:rowOff>
    </xdr:from>
    <xdr:to>
      <xdr:col>8</xdr:col>
      <xdr:colOff>38100</xdr:colOff>
      <xdr:row>158</xdr:row>
      <xdr:rowOff>28575</xdr:rowOff>
    </xdr:to>
    <xdr:sp macro="" textlink="">
      <xdr:nvSpPr>
        <xdr:cNvPr id="64633" name="Rectangle 3">
          <a:extLst>
            <a:ext uri="{FF2B5EF4-FFF2-40B4-BE49-F238E27FC236}">
              <a16:creationId xmlns:a16="http://schemas.microsoft.com/office/drawing/2014/main" id="{E8E0BD47-E4F1-49F6-832F-F7CE46BD5CB2}"/>
            </a:ext>
          </a:extLst>
        </xdr:cNvPr>
        <xdr:cNvSpPr>
          <a:spLocks noChangeArrowheads="1"/>
        </xdr:cNvSpPr>
      </xdr:nvSpPr>
      <xdr:spPr bwMode="auto">
        <a:xfrm>
          <a:off x="1085850" y="24831675"/>
          <a:ext cx="3933825" cy="285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179</xdr:row>
      <xdr:rowOff>0</xdr:rowOff>
    </xdr:from>
    <xdr:to>
      <xdr:col>8</xdr:col>
      <xdr:colOff>38100</xdr:colOff>
      <xdr:row>179</xdr:row>
      <xdr:rowOff>28575</xdr:rowOff>
    </xdr:to>
    <xdr:sp macro="" textlink="">
      <xdr:nvSpPr>
        <xdr:cNvPr id="64634" name="Rectangle 3">
          <a:extLst>
            <a:ext uri="{FF2B5EF4-FFF2-40B4-BE49-F238E27FC236}">
              <a16:creationId xmlns:a16="http://schemas.microsoft.com/office/drawing/2014/main" id="{B40C3F72-B0AD-4726-9F21-D20E802A9738}"/>
            </a:ext>
          </a:extLst>
        </xdr:cNvPr>
        <xdr:cNvSpPr>
          <a:spLocks noChangeArrowheads="1"/>
        </xdr:cNvSpPr>
      </xdr:nvSpPr>
      <xdr:spPr bwMode="auto">
        <a:xfrm>
          <a:off x="1085850" y="28832175"/>
          <a:ext cx="3933825" cy="285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179</xdr:row>
      <xdr:rowOff>0</xdr:rowOff>
    </xdr:from>
    <xdr:to>
      <xdr:col>8</xdr:col>
      <xdr:colOff>38100</xdr:colOff>
      <xdr:row>179</xdr:row>
      <xdr:rowOff>28575</xdr:rowOff>
    </xdr:to>
    <xdr:sp macro="" textlink="">
      <xdr:nvSpPr>
        <xdr:cNvPr id="64635" name="Rectangle 3">
          <a:extLst>
            <a:ext uri="{FF2B5EF4-FFF2-40B4-BE49-F238E27FC236}">
              <a16:creationId xmlns:a16="http://schemas.microsoft.com/office/drawing/2014/main" id="{BFE71860-05F4-4D07-9141-0393547DAE6A}"/>
            </a:ext>
          </a:extLst>
        </xdr:cNvPr>
        <xdr:cNvSpPr>
          <a:spLocks noChangeArrowheads="1"/>
        </xdr:cNvSpPr>
      </xdr:nvSpPr>
      <xdr:spPr bwMode="auto">
        <a:xfrm>
          <a:off x="1085850" y="28832175"/>
          <a:ext cx="3933825" cy="285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200</xdr:row>
      <xdr:rowOff>0</xdr:rowOff>
    </xdr:from>
    <xdr:to>
      <xdr:col>8</xdr:col>
      <xdr:colOff>38100</xdr:colOff>
      <xdr:row>200</xdr:row>
      <xdr:rowOff>28575</xdr:rowOff>
    </xdr:to>
    <xdr:sp macro="" textlink="">
      <xdr:nvSpPr>
        <xdr:cNvPr id="64636" name="Rectangle 3">
          <a:extLst>
            <a:ext uri="{FF2B5EF4-FFF2-40B4-BE49-F238E27FC236}">
              <a16:creationId xmlns:a16="http://schemas.microsoft.com/office/drawing/2014/main" id="{DC61E06D-C47D-4A80-8BEA-A00804CBC624}"/>
            </a:ext>
          </a:extLst>
        </xdr:cNvPr>
        <xdr:cNvSpPr>
          <a:spLocks noChangeArrowheads="1"/>
        </xdr:cNvSpPr>
      </xdr:nvSpPr>
      <xdr:spPr bwMode="auto">
        <a:xfrm>
          <a:off x="1085850" y="32832675"/>
          <a:ext cx="3933825" cy="285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200</xdr:row>
      <xdr:rowOff>0</xdr:rowOff>
    </xdr:from>
    <xdr:to>
      <xdr:col>8</xdr:col>
      <xdr:colOff>38100</xdr:colOff>
      <xdr:row>200</xdr:row>
      <xdr:rowOff>28575</xdr:rowOff>
    </xdr:to>
    <xdr:sp macro="" textlink="">
      <xdr:nvSpPr>
        <xdr:cNvPr id="64637" name="Rectangle 3">
          <a:extLst>
            <a:ext uri="{FF2B5EF4-FFF2-40B4-BE49-F238E27FC236}">
              <a16:creationId xmlns:a16="http://schemas.microsoft.com/office/drawing/2014/main" id="{D1E912D2-3CC3-4972-963D-65CD7456F352}"/>
            </a:ext>
          </a:extLst>
        </xdr:cNvPr>
        <xdr:cNvSpPr>
          <a:spLocks noChangeArrowheads="1"/>
        </xdr:cNvSpPr>
      </xdr:nvSpPr>
      <xdr:spPr bwMode="auto">
        <a:xfrm>
          <a:off x="1085850" y="32832675"/>
          <a:ext cx="3933825" cy="285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221</xdr:row>
      <xdr:rowOff>0</xdr:rowOff>
    </xdr:from>
    <xdr:to>
      <xdr:col>8</xdr:col>
      <xdr:colOff>38100</xdr:colOff>
      <xdr:row>221</xdr:row>
      <xdr:rowOff>28575</xdr:rowOff>
    </xdr:to>
    <xdr:sp macro="" textlink="">
      <xdr:nvSpPr>
        <xdr:cNvPr id="23" name="Rectangle 3">
          <a:extLst>
            <a:ext uri="{FF2B5EF4-FFF2-40B4-BE49-F238E27FC236}">
              <a16:creationId xmlns:a16="http://schemas.microsoft.com/office/drawing/2014/main" id="{A28475AA-493B-4B3A-91FF-5641207F5707}"/>
            </a:ext>
          </a:extLst>
        </xdr:cNvPr>
        <xdr:cNvSpPr>
          <a:spLocks noChangeArrowheads="1"/>
        </xdr:cNvSpPr>
      </xdr:nvSpPr>
      <xdr:spPr bwMode="auto">
        <a:xfrm>
          <a:off x="1085850" y="32832675"/>
          <a:ext cx="3933825" cy="285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221</xdr:row>
      <xdr:rowOff>0</xdr:rowOff>
    </xdr:from>
    <xdr:to>
      <xdr:col>8</xdr:col>
      <xdr:colOff>38100</xdr:colOff>
      <xdr:row>221</xdr:row>
      <xdr:rowOff>28575</xdr:rowOff>
    </xdr:to>
    <xdr:sp macro="" textlink="">
      <xdr:nvSpPr>
        <xdr:cNvPr id="24" name="Rectangle 3">
          <a:extLst>
            <a:ext uri="{FF2B5EF4-FFF2-40B4-BE49-F238E27FC236}">
              <a16:creationId xmlns:a16="http://schemas.microsoft.com/office/drawing/2014/main" id="{0C797E66-138E-4E4C-9CAB-5D648DEDA849}"/>
            </a:ext>
          </a:extLst>
        </xdr:cNvPr>
        <xdr:cNvSpPr>
          <a:spLocks noChangeArrowheads="1"/>
        </xdr:cNvSpPr>
      </xdr:nvSpPr>
      <xdr:spPr bwMode="auto">
        <a:xfrm>
          <a:off x="1085850" y="32832675"/>
          <a:ext cx="3933825" cy="285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241</xdr:row>
      <xdr:rowOff>0</xdr:rowOff>
    </xdr:from>
    <xdr:to>
      <xdr:col>8</xdr:col>
      <xdr:colOff>38100</xdr:colOff>
      <xdr:row>241</xdr:row>
      <xdr:rowOff>28575</xdr:rowOff>
    </xdr:to>
    <xdr:sp macro="" textlink="">
      <xdr:nvSpPr>
        <xdr:cNvPr id="25" name="Rectangle 3">
          <a:extLst>
            <a:ext uri="{FF2B5EF4-FFF2-40B4-BE49-F238E27FC236}">
              <a16:creationId xmlns:a16="http://schemas.microsoft.com/office/drawing/2014/main" id="{825D9F8D-0E77-43F3-B327-A6521348F884}"/>
            </a:ext>
          </a:extLst>
        </xdr:cNvPr>
        <xdr:cNvSpPr>
          <a:spLocks noChangeArrowheads="1"/>
        </xdr:cNvSpPr>
      </xdr:nvSpPr>
      <xdr:spPr bwMode="auto">
        <a:xfrm>
          <a:off x="1085850" y="40224075"/>
          <a:ext cx="3933825" cy="285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241</xdr:row>
      <xdr:rowOff>0</xdr:rowOff>
    </xdr:from>
    <xdr:to>
      <xdr:col>8</xdr:col>
      <xdr:colOff>38100</xdr:colOff>
      <xdr:row>241</xdr:row>
      <xdr:rowOff>28575</xdr:rowOff>
    </xdr:to>
    <xdr:sp macro="" textlink="">
      <xdr:nvSpPr>
        <xdr:cNvPr id="26" name="Rectangle 3">
          <a:extLst>
            <a:ext uri="{FF2B5EF4-FFF2-40B4-BE49-F238E27FC236}">
              <a16:creationId xmlns:a16="http://schemas.microsoft.com/office/drawing/2014/main" id="{92212B2C-2E59-4D4F-89CD-F2456850E843}"/>
            </a:ext>
          </a:extLst>
        </xdr:cNvPr>
        <xdr:cNvSpPr>
          <a:spLocks noChangeArrowheads="1"/>
        </xdr:cNvSpPr>
      </xdr:nvSpPr>
      <xdr:spPr bwMode="auto">
        <a:xfrm>
          <a:off x="1085850" y="40224075"/>
          <a:ext cx="3933825" cy="285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261</xdr:row>
      <xdr:rowOff>0</xdr:rowOff>
    </xdr:from>
    <xdr:to>
      <xdr:col>8</xdr:col>
      <xdr:colOff>38100</xdr:colOff>
      <xdr:row>261</xdr:row>
      <xdr:rowOff>28575</xdr:rowOff>
    </xdr:to>
    <xdr:sp macro="" textlink="">
      <xdr:nvSpPr>
        <xdr:cNvPr id="2" name="Rectangle 3">
          <a:extLst>
            <a:ext uri="{FF2B5EF4-FFF2-40B4-BE49-F238E27FC236}">
              <a16:creationId xmlns:a16="http://schemas.microsoft.com/office/drawing/2014/main" id="{F533F7BE-EEF8-4BA2-9D65-A4AC025F45F9}"/>
            </a:ext>
          </a:extLst>
        </xdr:cNvPr>
        <xdr:cNvSpPr>
          <a:spLocks noChangeArrowheads="1"/>
        </xdr:cNvSpPr>
      </xdr:nvSpPr>
      <xdr:spPr bwMode="auto">
        <a:xfrm>
          <a:off x="1085850" y="44424600"/>
          <a:ext cx="3933825" cy="285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261</xdr:row>
      <xdr:rowOff>0</xdr:rowOff>
    </xdr:from>
    <xdr:to>
      <xdr:col>8</xdr:col>
      <xdr:colOff>38100</xdr:colOff>
      <xdr:row>261</xdr:row>
      <xdr:rowOff>28575</xdr:rowOff>
    </xdr:to>
    <xdr:sp macro="" textlink="">
      <xdr:nvSpPr>
        <xdr:cNvPr id="3" name="Rectangle 3">
          <a:extLst>
            <a:ext uri="{FF2B5EF4-FFF2-40B4-BE49-F238E27FC236}">
              <a16:creationId xmlns:a16="http://schemas.microsoft.com/office/drawing/2014/main" id="{CAC6BFF9-AEAD-409F-A33D-0D5649B6F2C2}"/>
            </a:ext>
          </a:extLst>
        </xdr:cNvPr>
        <xdr:cNvSpPr>
          <a:spLocks noChangeArrowheads="1"/>
        </xdr:cNvSpPr>
      </xdr:nvSpPr>
      <xdr:spPr bwMode="auto">
        <a:xfrm>
          <a:off x="1085850" y="44424600"/>
          <a:ext cx="3933825" cy="285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281</xdr:row>
      <xdr:rowOff>0</xdr:rowOff>
    </xdr:from>
    <xdr:to>
      <xdr:col>8</xdr:col>
      <xdr:colOff>38100</xdr:colOff>
      <xdr:row>281</xdr:row>
      <xdr:rowOff>28575</xdr:rowOff>
    </xdr:to>
    <xdr:sp macro="" textlink="">
      <xdr:nvSpPr>
        <xdr:cNvPr id="4" name="Rectangle 3">
          <a:extLst>
            <a:ext uri="{FF2B5EF4-FFF2-40B4-BE49-F238E27FC236}">
              <a16:creationId xmlns:a16="http://schemas.microsoft.com/office/drawing/2014/main" id="{E13760B0-61D5-4FD1-BEE8-4B0B893A7DD6}"/>
            </a:ext>
          </a:extLst>
        </xdr:cNvPr>
        <xdr:cNvSpPr>
          <a:spLocks noChangeArrowheads="1"/>
        </xdr:cNvSpPr>
      </xdr:nvSpPr>
      <xdr:spPr bwMode="auto">
        <a:xfrm>
          <a:off x="1085850" y="44453175"/>
          <a:ext cx="3933825" cy="285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281</xdr:row>
      <xdr:rowOff>0</xdr:rowOff>
    </xdr:from>
    <xdr:to>
      <xdr:col>8</xdr:col>
      <xdr:colOff>38100</xdr:colOff>
      <xdr:row>281</xdr:row>
      <xdr:rowOff>28575</xdr:rowOff>
    </xdr:to>
    <xdr:sp macro="" textlink="">
      <xdr:nvSpPr>
        <xdr:cNvPr id="5" name="Rectangle 3">
          <a:extLst>
            <a:ext uri="{FF2B5EF4-FFF2-40B4-BE49-F238E27FC236}">
              <a16:creationId xmlns:a16="http://schemas.microsoft.com/office/drawing/2014/main" id="{8BD59D7A-0FDF-46B3-B938-A95C6AE93732}"/>
            </a:ext>
          </a:extLst>
        </xdr:cNvPr>
        <xdr:cNvSpPr>
          <a:spLocks noChangeArrowheads="1"/>
        </xdr:cNvSpPr>
      </xdr:nvSpPr>
      <xdr:spPr bwMode="auto">
        <a:xfrm>
          <a:off x="1085850" y="44453175"/>
          <a:ext cx="3933825" cy="285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301</xdr:row>
      <xdr:rowOff>0</xdr:rowOff>
    </xdr:from>
    <xdr:to>
      <xdr:col>8</xdr:col>
      <xdr:colOff>38100</xdr:colOff>
      <xdr:row>301</xdr:row>
      <xdr:rowOff>28575</xdr:rowOff>
    </xdr:to>
    <xdr:sp macro="" textlink="">
      <xdr:nvSpPr>
        <xdr:cNvPr id="6" name="Rectangle 3">
          <a:extLst>
            <a:ext uri="{FF2B5EF4-FFF2-40B4-BE49-F238E27FC236}">
              <a16:creationId xmlns:a16="http://schemas.microsoft.com/office/drawing/2014/main" id="{0CCB9C58-8DCE-4BAF-AA62-672A9C8A69A9}"/>
            </a:ext>
          </a:extLst>
        </xdr:cNvPr>
        <xdr:cNvSpPr>
          <a:spLocks noChangeArrowheads="1"/>
        </xdr:cNvSpPr>
      </xdr:nvSpPr>
      <xdr:spPr bwMode="auto">
        <a:xfrm>
          <a:off x="1047750" y="48281167"/>
          <a:ext cx="3922183" cy="285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301</xdr:row>
      <xdr:rowOff>0</xdr:rowOff>
    </xdr:from>
    <xdr:to>
      <xdr:col>8</xdr:col>
      <xdr:colOff>38100</xdr:colOff>
      <xdr:row>301</xdr:row>
      <xdr:rowOff>28575</xdr:rowOff>
    </xdr:to>
    <xdr:sp macro="" textlink="">
      <xdr:nvSpPr>
        <xdr:cNvPr id="7" name="Rectangle 3">
          <a:extLst>
            <a:ext uri="{FF2B5EF4-FFF2-40B4-BE49-F238E27FC236}">
              <a16:creationId xmlns:a16="http://schemas.microsoft.com/office/drawing/2014/main" id="{D072E9D2-440D-41DA-9DF2-EFD37679BDD3}"/>
            </a:ext>
          </a:extLst>
        </xdr:cNvPr>
        <xdr:cNvSpPr>
          <a:spLocks noChangeArrowheads="1"/>
        </xdr:cNvSpPr>
      </xdr:nvSpPr>
      <xdr:spPr bwMode="auto">
        <a:xfrm>
          <a:off x="1047750" y="48281167"/>
          <a:ext cx="3922183" cy="285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321</xdr:row>
      <xdr:rowOff>0</xdr:rowOff>
    </xdr:from>
    <xdr:to>
      <xdr:col>8</xdr:col>
      <xdr:colOff>38100</xdr:colOff>
      <xdr:row>321</xdr:row>
      <xdr:rowOff>28575</xdr:rowOff>
    </xdr:to>
    <xdr:sp macro="" textlink="">
      <xdr:nvSpPr>
        <xdr:cNvPr id="8" name="Rectangle 3">
          <a:extLst>
            <a:ext uri="{FF2B5EF4-FFF2-40B4-BE49-F238E27FC236}">
              <a16:creationId xmlns:a16="http://schemas.microsoft.com/office/drawing/2014/main" id="{279B41CE-CBE8-4736-A194-EE526DE42706}"/>
            </a:ext>
          </a:extLst>
        </xdr:cNvPr>
        <xdr:cNvSpPr>
          <a:spLocks noChangeArrowheads="1"/>
        </xdr:cNvSpPr>
      </xdr:nvSpPr>
      <xdr:spPr bwMode="auto">
        <a:xfrm>
          <a:off x="1047750" y="52091167"/>
          <a:ext cx="3922183" cy="285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0</xdr:colOff>
      <xdr:row>321</xdr:row>
      <xdr:rowOff>0</xdr:rowOff>
    </xdr:from>
    <xdr:to>
      <xdr:col>8</xdr:col>
      <xdr:colOff>38100</xdr:colOff>
      <xdr:row>321</xdr:row>
      <xdr:rowOff>28575</xdr:rowOff>
    </xdr:to>
    <xdr:sp macro="" textlink="">
      <xdr:nvSpPr>
        <xdr:cNvPr id="9" name="Rectangle 3">
          <a:extLst>
            <a:ext uri="{FF2B5EF4-FFF2-40B4-BE49-F238E27FC236}">
              <a16:creationId xmlns:a16="http://schemas.microsoft.com/office/drawing/2014/main" id="{AC0AB831-FD9A-4E4E-9295-D433BC89EBF9}"/>
            </a:ext>
          </a:extLst>
        </xdr:cNvPr>
        <xdr:cNvSpPr>
          <a:spLocks noChangeArrowheads="1"/>
        </xdr:cNvSpPr>
      </xdr:nvSpPr>
      <xdr:spPr bwMode="auto">
        <a:xfrm>
          <a:off x="1047750" y="52091167"/>
          <a:ext cx="3922183" cy="285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85725</xdr:colOff>
      <xdr:row>3</xdr:row>
      <xdr:rowOff>0</xdr:rowOff>
    </xdr:from>
    <xdr:to>
      <xdr:col>8</xdr:col>
      <xdr:colOff>0</xdr:colOff>
      <xdr:row>3</xdr:row>
      <xdr:rowOff>0</xdr:rowOff>
    </xdr:to>
    <xdr:sp macro="" textlink="">
      <xdr:nvSpPr>
        <xdr:cNvPr id="65586" name="Rectangle 1">
          <a:extLst>
            <a:ext uri="{FF2B5EF4-FFF2-40B4-BE49-F238E27FC236}">
              <a16:creationId xmlns:a16="http://schemas.microsoft.com/office/drawing/2014/main" id="{631285B5-209F-456B-81E7-27F914DBDF4C}"/>
            </a:ext>
          </a:extLst>
        </xdr:cNvPr>
        <xdr:cNvSpPr>
          <a:spLocks noChangeArrowheads="1"/>
        </xdr:cNvSpPr>
      </xdr:nvSpPr>
      <xdr:spPr bwMode="auto">
        <a:xfrm>
          <a:off x="1009650" y="504825"/>
          <a:ext cx="4105275" cy="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xdr:col>
      <xdr:colOff>85725</xdr:colOff>
      <xdr:row>24</xdr:row>
      <xdr:rowOff>0</xdr:rowOff>
    </xdr:from>
    <xdr:to>
      <xdr:col>8</xdr:col>
      <xdr:colOff>0</xdr:colOff>
      <xdr:row>24</xdr:row>
      <xdr:rowOff>0</xdr:rowOff>
    </xdr:to>
    <xdr:sp macro="" textlink="">
      <xdr:nvSpPr>
        <xdr:cNvPr id="65587" name="Rectangle 1">
          <a:extLst>
            <a:ext uri="{FF2B5EF4-FFF2-40B4-BE49-F238E27FC236}">
              <a16:creationId xmlns:a16="http://schemas.microsoft.com/office/drawing/2014/main" id="{17C6129A-47D4-437E-8EC4-C15131DABA15}"/>
            </a:ext>
          </a:extLst>
        </xdr:cNvPr>
        <xdr:cNvSpPr>
          <a:spLocks noChangeArrowheads="1"/>
        </xdr:cNvSpPr>
      </xdr:nvSpPr>
      <xdr:spPr bwMode="auto">
        <a:xfrm>
          <a:off x="1009650" y="3800475"/>
          <a:ext cx="4105275" cy="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xdr:col>
      <xdr:colOff>85725</xdr:colOff>
      <xdr:row>45</xdr:row>
      <xdr:rowOff>0</xdr:rowOff>
    </xdr:from>
    <xdr:to>
      <xdr:col>8</xdr:col>
      <xdr:colOff>0</xdr:colOff>
      <xdr:row>45</xdr:row>
      <xdr:rowOff>0</xdr:rowOff>
    </xdr:to>
    <xdr:sp macro="" textlink="">
      <xdr:nvSpPr>
        <xdr:cNvPr id="65588" name="Rectangle 1">
          <a:extLst>
            <a:ext uri="{FF2B5EF4-FFF2-40B4-BE49-F238E27FC236}">
              <a16:creationId xmlns:a16="http://schemas.microsoft.com/office/drawing/2014/main" id="{95CF91D0-314B-47EC-9F8A-FF874FF76F39}"/>
            </a:ext>
          </a:extLst>
        </xdr:cNvPr>
        <xdr:cNvSpPr>
          <a:spLocks noChangeArrowheads="1"/>
        </xdr:cNvSpPr>
      </xdr:nvSpPr>
      <xdr:spPr bwMode="auto">
        <a:xfrm>
          <a:off x="1009650" y="7153275"/>
          <a:ext cx="4105275" cy="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xdr:col>
      <xdr:colOff>85725</xdr:colOff>
      <xdr:row>66</xdr:row>
      <xdr:rowOff>0</xdr:rowOff>
    </xdr:from>
    <xdr:to>
      <xdr:col>8</xdr:col>
      <xdr:colOff>0</xdr:colOff>
      <xdr:row>66</xdr:row>
      <xdr:rowOff>0</xdr:rowOff>
    </xdr:to>
    <xdr:sp macro="" textlink="">
      <xdr:nvSpPr>
        <xdr:cNvPr id="65589" name="Rectangle 1">
          <a:extLst>
            <a:ext uri="{FF2B5EF4-FFF2-40B4-BE49-F238E27FC236}">
              <a16:creationId xmlns:a16="http://schemas.microsoft.com/office/drawing/2014/main" id="{044DA2C5-BBC9-462D-BDA4-39ECD7271DCD}"/>
            </a:ext>
          </a:extLst>
        </xdr:cNvPr>
        <xdr:cNvSpPr>
          <a:spLocks noChangeArrowheads="1"/>
        </xdr:cNvSpPr>
      </xdr:nvSpPr>
      <xdr:spPr bwMode="auto">
        <a:xfrm>
          <a:off x="1009650" y="10506075"/>
          <a:ext cx="4105275" cy="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xdr:col>
      <xdr:colOff>85725</xdr:colOff>
      <xdr:row>87</xdr:row>
      <xdr:rowOff>0</xdr:rowOff>
    </xdr:from>
    <xdr:to>
      <xdr:col>8</xdr:col>
      <xdr:colOff>0</xdr:colOff>
      <xdr:row>87</xdr:row>
      <xdr:rowOff>0</xdr:rowOff>
    </xdr:to>
    <xdr:sp macro="" textlink="">
      <xdr:nvSpPr>
        <xdr:cNvPr id="65590" name="Rectangle 1">
          <a:extLst>
            <a:ext uri="{FF2B5EF4-FFF2-40B4-BE49-F238E27FC236}">
              <a16:creationId xmlns:a16="http://schemas.microsoft.com/office/drawing/2014/main" id="{E4706D9F-3142-4A43-B0B0-E6045A93E5DD}"/>
            </a:ext>
          </a:extLst>
        </xdr:cNvPr>
        <xdr:cNvSpPr>
          <a:spLocks noChangeArrowheads="1"/>
        </xdr:cNvSpPr>
      </xdr:nvSpPr>
      <xdr:spPr bwMode="auto">
        <a:xfrm>
          <a:off x="1009650" y="13858875"/>
          <a:ext cx="4105275" cy="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xdr:col>
      <xdr:colOff>85725</xdr:colOff>
      <xdr:row>112</xdr:row>
      <xdr:rowOff>0</xdr:rowOff>
    </xdr:from>
    <xdr:to>
      <xdr:col>8</xdr:col>
      <xdr:colOff>0</xdr:colOff>
      <xdr:row>112</xdr:row>
      <xdr:rowOff>0</xdr:rowOff>
    </xdr:to>
    <xdr:sp macro="" textlink="">
      <xdr:nvSpPr>
        <xdr:cNvPr id="65591" name="Rectangle 1">
          <a:extLst>
            <a:ext uri="{FF2B5EF4-FFF2-40B4-BE49-F238E27FC236}">
              <a16:creationId xmlns:a16="http://schemas.microsoft.com/office/drawing/2014/main" id="{8345E0F8-AC20-4F42-9E8F-24234DAAF7BC}"/>
            </a:ext>
          </a:extLst>
        </xdr:cNvPr>
        <xdr:cNvSpPr>
          <a:spLocks noChangeArrowheads="1"/>
        </xdr:cNvSpPr>
      </xdr:nvSpPr>
      <xdr:spPr bwMode="auto">
        <a:xfrm>
          <a:off x="1009650" y="18097500"/>
          <a:ext cx="4105275" cy="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xdr:col>
      <xdr:colOff>85725</xdr:colOff>
      <xdr:row>137</xdr:row>
      <xdr:rowOff>0</xdr:rowOff>
    </xdr:from>
    <xdr:to>
      <xdr:col>8</xdr:col>
      <xdr:colOff>0</xdr:colOff>
      <xdr:row>137</xdr:row>
      <xdr:rowOff>0</xdr:rowOff>
    </xdr:to>
    <xdr:sp macro="" textlink="">
      <xdr:nvSpPr>
        <xdr:cNvPr id="65592" name="Rectangle 1">
          <a:extLst>
            <a:ext uri="{FF2B5EF4-FFF2-40B4-BE49-F238E27FC236}">
              <a16:creationId xmlns:a16="http://schemas.microsoft.com/office/drawing/2014/main" id="{D1655B7F-C977-4EAF-A5CA-8400B1B2E3C9}"/>
            </a:ext>
          </a:extLst>
        </xdr:cNvPr>
        <xdr:cNvSpPr>
          <a:spLocks noChangeArrowheads="1"/>
        </xdr:cNvSpPr>
      </xdr:nvSpPr>
      <xdr:spPr bwMode="auto">
        <a:xfrm>
          <a:off x="1009650" y="22526625"/>
          <a:ext cx="4105275" cy="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xdr:col>
      <xdr:colOff>85725</xdr:colOff>
      <xdr:row>188</xdr:row>
      <xdr:rowOff>0</xdr:rowOff>
    </xdr:from>
    <xdr:to>
      <xdr:col>8</xdr:col>
      <xdr:colOff>0</xdr:colOff>
      <xdr:row>188</xdr:row>
      <xdr:rowOff>0</xdr:rowOff>
    </xdr:to>
    <xdr:sp macro="" textlink="">
      <xdr:nvSpPr>
        <xdr:cNvPr id="65593" name="Rectangle 1">
          <a:extLst>
            <a:ext uri="{FF2B5EF4-FFF2-40B4-BE49-F238E27FC236}">
              <a16:creationId xmlns:a16="http://schemas.microsoft.com/office/drawing/2014/main" id="{1FC6A42E-F5D8-44C5-8119-2B040E1B83C2}"/>
            </a:ext>
          </a:extLst>
        </xdr:cNvPr>
        <xdr:cNvSpPr>
          <a:spLocks noChangeArrowheads="1"/>
        </xdr:cNvSpPr>
      </xdr:nvSpPr>
      <xdr:spPr bwMode="auto">
        <a:xfrm>
          <a:off x="1009650" y="31956375"/>
          <a:ext cx="4105275" cy="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xdr:col>
      <xdr:colOff>85725</xdr:colOff>
      <xdr:row>162</xdr:row>
      <xdr:rowOff>0</xdr:rowOff>
    </xdr:from>
    <xdr:to>
      <xdr:col>8</xdr:col>
      <xdr:colOff>0</xdr:colOff>
      <xdr:row>162</xdr:row>
      <xdr:rowOff>0</xdr:rowOff>
    </xdr:to>
    <xdr:sp macro="" textlink="">
      <xdr:nvSpPr>
        <xdr:cNvPr id="65594" name="Rectangle 1">
          <a:extLst>
            <a:ext uri="{FF2B5EF4-FFF2-40B4-BE49-F238E27FC236}">
              <a16:creationId xmlns:a16="http://schemas.microsoft.com/office/drawing/2014/main" id="{B59434CC-0EF2-493C-8349-B96FF5A094C2}"/>
            </a:ext>
          </a:extLst>
        </xdr:cNvPr>
        <xdr:cNvSpPr>
          <a:spLocks noChangeArrowheads="1"/>
        </xdr:cNvSpPr>
      </xdr:nvSpPr>
      <xdr:spPr bwMode="auto">
        <a:xfrm>
          <a:off x="1009650" y="26955750"/>
          <a:ext cx="4105275" cy="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xdr:col>
      <xdr:colOff>85725</xdr:colOff>
      <xdr:row>214</xdr:row>
      <xdr:rowOff>0</xdr:rowOff>
    </xdr:from>
    <xdr:to>
      <xdr:col>8</xdr:col>
      <xdr:colOff>0</xdr:colOff>
      <xdr:row>214</xdr:row>
      <xdr:rowOff>0</xdr:rowOff>
    </xdr:to>
    <xdr:sp macro="" textlink="">
      <xdr:nvSpPr>
        <xdr:cNvPr id="65595" name="Rectangle 1">
          <a:extLst>
            <a:ext uri="{FF2B5EF4-FFF2-40B4-BE49-F238E27FC236}">
              <a16:creationId xmlns:a16="http://schemas.microsoft.com/office/drawing/2014/main" id="{2F7C2F9A-90D5-4883-A99D-A11DB0A7A0C0}"/>
            </a:ext>
          </a:extLst>
        </xdr:cNvPr>
        <xdr:cNvSpPr>
          <a:spLocks noChangeArrowheads="1"/>
        </xdr:cNvSpPr>
      </xdr:nvSpPr>
      <xdr:spPr bwMode="auto">
        <a:xfrm>
          <a:off x="1009650" y="36957000"/>
          <a:ext cx="4105275" cy="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xdr:col>
      <xdr:colOff>85725</xdr:colOff>
      <xdr:row>240</xdr:row>
      <xdr:rowOff>0</xdr:rowOff>
    </xdr:from>
    <xdr:to>
      <xdr:col>8</xdr:col>
      <xdr:colOff>0</xdr:colOff>
      <xdr:row>240</xdr:row>
      <xdr:rowOff>0</xdr:rowOff>
    </xdr:to>
    <xdr:sp macro="" textlink="">
      <xdr:nvSpPr>
        <xdr:cNvPr id="12" name="Rectangle 1">
          <a:extLst>
            <a:ext uri="{FF2B5EF4-FFF2-40B4-BE49-F238E27FC236}">
              <a16:creationId xmlns:a16="http://schemas.microsoft.com/office/drawing/2014/main" id="{AE086243-559C-4A26-B82A-CAB12BE8C467}"/>
            </a:ext>
          </a:extLst>
        </xdr:cNvPr>
        <xdr:cNvSpPr>
          <a:spLocks noChangeArrowheads="1"/>
        </xdr:cNvSpPr>
      </xdr:nvSpPr>
      <xdr:spPr bwMode="auto">
        <a:xfrm>
          <a:off x="1009650" y="36957000"/>
          <a:ext cx="4105275" cy="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xdr:col>
      <xdr:colOff>85725</xdr:colOff>
      <xdr:row>263</xdr:row>
      <xdr:rowOff>0</xdr:rowOff>
    </xdr:from>
    <xdr:to>
      <xdr:col>8</xdr:col>
      <xdr:colOff>0</xdr:colOff>
      <xdr:row>263</xdr:row>
      <xdr:rowOff>0</xdr:rowOff>
    </xdr:to>
    <xdr:sp macro="" textlink="">
      <xdr:nvSpPr>
        <xdr:cNvPr id="13" name="Rectangle 1">
          <a:extLst>
            <a:ext uri="{FF2B5EF4-FFF2-40B4-BE49-F238E27FC236}">
              <a16:creationId xmlns:a16="http://schemas.microsoft.com/office/drawing/2014/main" id="{F9EFD589-3BA6-45D0-A2E1-19D3D3C660F0}"/>
            </a:ext>
          </a:extLst>
        </xdr:cNvPr>
        <xdr:cNvSpPr>
          <a:spLocks noChangeArrowheads="1"/>
        </xdr:cNvSpPr>
      </xdr:nvSpPr>
      <xdr:spPr bwMode="auto">
        <a:xfrm>
          <a:off x="1009650" y="41957625"/>
          <a:ext cx="4105275" cy="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xdr:col>
      <xdr:colOff>85725</xdr:colOff>
      <xdr:row>287</xdr:row>
      <xdr:rowOff>0</xdr:rowOff>
    </xdr:from>
    <xdr:to>
      <xdr:col>8</xdr:col>
      <xdr:colOff>0</xdr:colOff>
      <xdr:row>287</xdr:row>
      <xdr:rowOff>0</xdr:rowOff>
    </xdr:to>
    <xdr:sp macro="" textlink="">
      <xdr:nvSpPr>
        <xdr:cNvPr id="2" name="Rectangle 1">
          <a:extLst>
            <a:ext uri="{FF2B5EF4-FFF2-40B4-BE49-F238E27FC236}">
              <a16:creationId xmlns:a16="http://schemas.microsoft.com/office/drawing/2014/main" id="{F6F4C821-9962-44ED-B09C-A3C81AD58C24}"/>
            </a:ext>
          </a:extLst>
        </xdr:cNvPr>
        <xdr:cNvSpPr>
          <a:spLocks noChangeArrowheads="1"/>
        </xdr:cNvSpPr>
      </xdr:nvSpPr>
      <xdr:spPr bwMode="auto">
        <a:xfrm>
          <a:off x="1009650" y="46386750"/>
          <a:ext cx="4105275" cy="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xdr:col>
      <xdr:colOff>85725</xdr:colOff>
      <xdr:row>311</xdr:row>
      <xdr:rowOff>0</xdr:rowOff>
    </xdr:from>
    <xdr:to>
      <xdr:col>8</xdr:col>
      <xdr:colOff>0</xdr:colOff>
      <xdr:row>311</xdr:row>
      <xdr:rowOff>0</xdr:rowOff>
    </xdr:to>
    <xdr:sp macro="" textlink="">
      <xdr:nvSpPr>
        <xdr:cNvPr id="3" name="Rectangle 1">
          <a:extLst>
            <a:ext uri="{FF2B5EF4-FFF2-40B4-BE49-F238E27FC236}">
              <a16:creationId xmlns:a16="http://schemas.microsoft.com/office/drawing/2014/main" id="{B99FDF66-F720-4870-BE0A-59CC67C16984}"/>
            </a:ext>
          </a:extLst>
        </xdr:cNvPr>
        <xdr:cNvSpPr>
          <a:spLocks noChangeArrowheads="1"/>
        </xdr:cNvSpPr>
      </xdr:nvSpPr>
      <xdr:spPr bwMode="auto">
        <a:xfrm>
          <a:off x="1009650" y="51006375"/>
          <a:ext cx="4105275" cy="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xdr:col>
      <xdr:colOff>85725</xdr:colOff>
      <xdr:row>335</xdr:row>
      <xdr:rowOff>0</xdr:rowOff>
    </xdr:from>
    <xdr:to>
      <xdr:col>8</xdr:col>
      <xdr:colOff>0</xdr:colOff>
      <xdr:row>335</xdr:row>
      <xdr:rowOff>0</xdr:rowOff>
    </xdr:to>
    <xdr:sp macro="" textlink="">
      <xdr:nvSpPr>
        <xdr:cNvPr id="4" name="Rectangle 1">
          <a:extLst>
            <a:ext uri="{FF2B5EF4-FFF2-40B4-BE49-F238E27FC236}">
              <a16:creationId xmlns:a16="http://schemas.microsoft.com/office/drawing/2014/main" id="{9143EC3F-AEFF-408D-9018-E5454DCA7381}"/>
            </a:ext>
          </a:extLst>
        </xdr:cNvPr>
        <xdr:cNvSpPr>
          <a:spLocks noChangeArrowheads="1"/>
        </xdr:cNvSpPr>
      </xdr:nvSpPr>
      <xdr:spPr bwMode="auto">
        <a:xfrm>
          <a:off x="1048808" y="55678917"/>
          <a:ext cx="4105275" cy="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xdr:col>
      <xdr:colOff>85725</xdr:colOff>
      <xdr:row>359</xdr:row>
      <xdr:rowOff>0</xdr:rowOff>
    </xdr:from>
    <xdr:to>
      <xdr:col>8</xdr:col>
      <xdr:colOff>0</xdr:colOff>
      <xdr:row>359</xdr:row>
      <xdr:rowOff>0</xdr:rowOff>
    </xdr:to>
    <xdr:sp macro="" textlink="">
      <xdr:nvSpPr>
        <xdr:cNvPr id="5" name="Rectangle 1">
          <a:extLst>
            <a:ext uri="{FF2B5EF4-FFF2-40B4-BE49-F238E27FC236}">
              <a16:creationId xmlns:a16="http://schemas.microsoft.com/office/drawing/2014/main" id="{E433B23C-CDF8-43E9-8A7E-7343672B655E}"/>
            </a:ext>
          </a:extLst>
        </xdr:cNvPr>
        <xdr:cNvSpPr>
          <a:spLocks noChangeArrowheads="1"/>
        </xdr:cNvSpPr>
      </xdr:nvSpPr>
      <xdr:spPr bwMode="auto">
        <a:xfrm>
          <a:off x="1048808" y="60303833"/>
          <a:ext cx="4105275" cy="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228600</xdr:colOff>
      <xdr:row>4</xdr:row>
      <xdr:rowOff>47625</xdr:rowOff>
    </xdr:from>
    <xdr:to>
      <xdr:col>29</xdr:col>
      <xdr:colOff>209550</xdr:colOff>
      <xdr:row>4</xdr:row>
      <xdr:rowOff>47625</xdr:rowOff>
    </xdr:to>
    <xdr:sp macro="" textlink="">
      <xdr:nvSpPr>
        <xdr:cNvPr id="11899" name="Rectangle 1">
          <a:extLst>
            <a:ext uri="{FF2B5EF4-FFF2-40B4-BE49-F238E27FC236}">
              <a16:creationId xmlns:a16="http://schemas.microsoft.com/office/drawing/2014/main" id="{E5E28F1A-5A86-41E3-B95D-16AB8AD6CF98}"/>
            </a:ext>
          </a:extLst>
        </xdr:cNvPr>
        <xdr:cNvSpPr>
          <a:spLocks noChangeArrowheads="1"/>
        </xdr:cNvSpPr>
      </xdr:nvSpPr>
      <xdr:spPr bwMode="auto">
        <a:xfrm>
          <a:off x="1295400" y="895350"/>
          <a:ext cx="11725275" cy="0"/>
        </a:xfrm>
        <a:prstGeom prst="rect">
          <a:avLst/>
        </a:prstGeom>
        <a:solidFill>
          <a:srgbClr val="FFFFFF"/>
        </a:solidFill>
        <a:ln w="1">
          <a:solidFill>
            <a:srgbClr val="FFFFFF"/>
          </a:solidFill>
          <a:miter lim="800000"/>
          <a:headEnd/>
          <a:tailEnd/>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11.bin"/><Relationship Id="rId4" Type="http://schemas.openxmlformats.org/officeDocument/2006/relationships/comments" Target="../comments4.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3"/>
  <sheetViews>
    <sheetView workbookViewId="0">
      <selection activeCell="D3" sqref="D3:D8"/>
    </sheetView>
  </sheetViews>
  <sheetFormatPr baseColWidth="10" defaultRowHeight="15.75"/>
  <cols>
    <col min="1" max="1" width="4.125" customWidth="1"/>
    <col min="2" max="2" width="15.5" bestFit="1" customWidth="1"/>
    <col min="3" max="3" width="8" customWidth="1"/>
    <col min="4" max="4" width="13.125" bestFit="1" customWidth="1"/>
    <col min="7" max="7" width="15.125" customWidth="1"/>
    <col min="8" max="8" width="13.625" customWidth="1"/>
    <col min="9" max="9" width="22" bestFit="1" customWidth="1"/>
    <col min="10" max="10" width="7.5" bestFit="1" customWidth="1"/>
  </cols>
  <sheetData>
    <row r="1" spans="1:11">
      <c r="A1" s="3" t="s">
        <v>70</v>
      </c>
    </row>
    <row r="2" spans="1:11">
      <c r="B2" t="s">
        <v>61</v>
      </c>
      <c r="C2" t="s">
        <v>62</v>
      </c>
      <c r="D2" t="s">
        <v>63</v>
      </c>
      <c r="E2" t="s">
        <v>64</v>
      </c>
      <c r="F2" t="s">
        <v>65</v>
      </c>
      <c r="G2" t="s">
        <v>66</v>
      </c>
      <c r="H2" t="s">
        <v>67</v>
      </c>
      <c r="I2" t="s">
        <v>68</v>
      </c>
      <c r="J2" t="s">
        <v>69</v>
      </c>
    </row>
    <row r="3" spans="1:11">
      <c r="B3" t="str">
        <f t="shared" ref="B3:B8" si="0">+B17</f>
        <v>Diciembre de 2008</v>
      </c>
      <c r="C3" s="2">
        <v>23</v>
      </c>
      <c r="D3" t="str">
        <f t="shared" ref="D3:E8" si="1">+D17</f>
        <v>Diciembre 2008</v>
      </c>
      <c r="E3" t="str">
        <f t="shared" si="1"/>
        <v xml:space="preserve"> 31/12/08</v>
      </c>
      <c r="F3" s="2" t="str">
        <f t="shared" ref="F3:F8" si="2">+H3</f>
        <v>Año 2008</v>
      </c>
      <c r="G3">
        <f t="shared" ref="G3:G8" si="3">+G17</f>
        <v>2008</v>
      </c>
      <c r="H3" t="str">
        <f t="shared" ref="H3:J8" si="4">+H17</f>
        <v>Año 2008</v>
      </c>
      <c r="I3" t="str">
        <f t="shared" si="4"/>
        <v>al 31 de diciembre de 2008</v>
      </c>
      <c r="J3" t="str">
        <f>+J17</f>
        <v>Dic '08</v>
      </c>
    </row>
    <row r="4" spans="1:11">
      <c r="B4" t="str">
        <f t="shared" si="0"/>
        <v>Diciembre de 2007</v>
      </c>
      <c r="C4">
        <f>+C3-2</f>
        <v>21</v>
      </c>
      <c r="D4" t="str">
        <f t="shared" si="1"/>
        <v>Diciembre 2007</v>
      </c>
      <c r="E4" t="str">
        <f t="shared" si="1"/>
        <v xml:space="preserve"> 31/12/07</v>
      </c>
      <c r="F4" s="2" t="str">
        <f t="shared" si="2"/>
        <v>Año 2007</v>
      </c>
      <c r="G4">
        <f t="shared" si="3"/>
        <v>2007</v>
      </c>
      <c r="H4" t="str">
        <f t="shared" si="4"/>
        <v>Año 2007</v>
      </c>
      <c r="I4" t="str">
        <f t="shared" si="4"/>
        <v>al 31 de diciembre de 2007</v>
      </c>
      <c r="J4" t="str">
        <f t="shared" si="4"/>
        <v>Dic '07</v>
      </c>
    </row>
    <row r="5" spans="1:11">
      <c r="B5" t="str">
        <f t="shared" si="0"/>
        <v>Diciembre de 2006</v>
      </c>
      <c r="C5">
        <f>+C4-2</f>
        <v>19</v>
      </c>
      <c r="D5" t="str">
        <f t="shared" si="1"/>
        <v>Diciembre 2006</v>
      </c>
      <c r="E5" t="str">
        <f t="shared" si="1"/>
        <v xml:space="preserve"> 31/12/06</v>
      </c>
      <c r="F5" s="2" t="str">
        <f t="shared" si="2"/>
        <v>Año 2006</v>
      </c>
      <c r="G5">
        <f t="shared" si="3"/>
        <v>2006</v>
      </c>
      <c r="H5" t="str">
        <f t="shared" si="4"/>
        <v>Año 2006</v>
      </c>
      <c r="I5" t="str">
        <f t="shared" si="4"/>
        <v>al 31 de diciembre de 2006</v>
      </c>
      <c r="J5" t="str">
        <f t="shared" si="4"/>
        <v>Dic '06</v>
      </c>
    </row>
    <row r="6" spans="1:11">
      <c r="B6" t="str">
        <f t="shared" si="0"/>
        <v>Diciembre de 2005</v>
      </c>
      <c r="C6">
        <f>+C5-2</f>
        <v>17</v>
      </c>
      <c r="D6" t="str">
        <f t="shared" si="1"/>
        <v>Diciembre 2005</v>
      </c>
      <c r="E6" t="str">
        <f t="shared" si="1"/>
        <v xml:space="preserve"> 31/12/05</v>
      </c>
      <c r="F6" s="2" t="str">
        <f t="shared" si="2"/>
        <v>Año 2005</v>
      </c>
      <c r="G6">
        <f t="shared" si="3"/>
        <v>2005</v>
      </c>
      <c r="H6" t="str">
        <f t="shared" si="4"/>
        <v>Año 2005</v>
      </c>
      <c r="I6" t="str">
        <f t="shared" si="4"/>
        <v>al 31 de diciembre de 2005</v>
      </c>
      <c r="J6" t="str">
        <f t="shared" si="4"/>
        <v>Dic '05</v>
      </c>
    </row>
    <row r="7" spans="1:11">
      <c r="B7" t="str">
        <f t="shared" si="0"/>
        <v>Diciembre de 2004</v>
      </c>
      <c r="C7">
        <f>+C6-2</f>
        <v>15</v>
      </c>
      <c r="D7" t="str">
        <f t="shared" si="1"/>
        <v>Diciembre 2004</v>
      </c>
      <c r="E7" t="str">
        <f t="shared" si="1"/>
        <v xml:space="preserve"> 31/12/04</v>
      </c>
      <c r="F7" s="2" t="str">
        <f t="shared" si="2"/>
        <v>Año 2004</v>
      </c>
      <c r="G7">
        <f t="shared" si="3"/>
        <v>2004</v>
      </c>
      <c r="H7" t="str">
        <f t="shared" si="4"/>
        <v>Año 2004</v>
      </c>
      <c r="I7" t="str">
        <f t="shared" si="4"/>
        <v>al 31 de diciembre de 2004</v>
      </c>
      <c r="J7" t="str">
        <f t="shared" si="4"/>
        <v>Dic '04</v>
      </c>
    </row>
    <row r="8" spans="1:11">
      <c r="B8" t="str">
        <f t="shared" si="0"/>
        <v>Diciembre de 2003</v>
      </c>
      <c r="C8">
        <f>+C7-2</f>
        <v>13</v>
      </c>
      <c r="D8" t="str">
        <f t="shared" si="1"/>
        <v>Diciembre 2003</v>
      </c>
      <c r="E8" t="str">
        <f t="shared" si="1"/>
        <v xml:space="preserve"> 31/12/03</v>
      </c>
      <c r="F8" s="2" t="str">
        <f t="shared" si="2"/>
        <v>Año 2003</v>
      </c>
      <c r="G8">
        <f t="shared" si="3"/>
        <v>2003</v>
      </c>
      <c r="H8" t="str">
        <f t="shared" si="4"/>
        <v>Año 2003</v>
      </c>
      <c r="I8" t="str">
        <f t="shared" si="4"/>
        <v>al 31 de diciembre de 2003</v>
      </c>
      <c r="J8" t="str">
        <f t="shared" si="4"/>
        <v>Dic '03</v>
      </c>
    </row>
    <row r="9" spans="1:11">
      <c r="E9" s="6"/>
    </row>
    <row r="10" spans="1:11">
      <c r="B10" t="s">
        <v>169</v>
      </c>
      <c r="D10" s="5" t="s">
        <v>170</v>
      </c>
      <c r="E10" s="6" t="s">
        <v>171</v>
      </c>
      <c r="G10" t="s">
        <v>175</v>
      </c>
      <c r="H10" t="s">
        <v>173</v>
      </c>
      <c r="I10" t="s">
        <v>172</v>
      </c>
      <c r="J10" s="4" t="s">
        <v>174</v>
      </c>
      <c r="K10" t="str">
        <f>MID(F10,5,4)</f>
        <v/>
      </c>
    </row>
    <row r="11" spans="1:11">
      <c r="B11" t="s">
        <v>156</v>
      </c>
      <c r="D11" s="5" t="s">
        <v>157</v>
      </c>
      <c r="E11" s="6" t="s">
        <v>155</v>
      </c>
      <c r="G11" t="s">
        <v>151</v>
      </c>
      <c r="H11" t="s">
        <v>152</v>
      </c>
      <c r="I11" t="s">
        <v>153</v>
      </c>
      <c r="J11" s="4" t="s">
        <v>154</v>
      </c>
      <c r="K11" t="str">
        <f>MID(F11,5,4)</f>
        <v/>
      </c>
    </row>
    <row r="12" spans="1:11">
      <c r="B12" t="s">
        <v>132</v>
      </c>
      <c r="D12" s="5" t="s">
        <v>133</v>
      </c>
      <c r="E12" s="6" t="s">
        <v>134</v>
      </c>
      <c r="G12" t="s">
        <v>137</v>
      </c>
      <c r="H12" t="s">
        <v>138</v>
      </c>
      <c r="I12" t="s">
        <v>135</v>
      </c>
      <c r="J12" s="4" t="s">
        <v>136</v>
      </c>
      <c r="K12" t="str">
        <f>MID(F12,5,4)</f>
        <v/>
      </c>
    </row>
    <row r="13" spans="1:11">
      <c r="B13" t="s">
        <v>99</v>
      </c>
      <c r="D13" s="5" t="s">
        <v>100</v>
      </c>
      <c r="E13" s="6" t="s">
        <v>98</v>
      </c>
      <c r="G13" t="s">
        <v>101</v>
      </c>
      <c r="H13" t="s">
        <v>102</v>
      </c>
      <c r="I13" t="s">
        <v>104</v>
      </c>
      <c r="J13" s="4" t="s">
        <v>106</v>
      </c>
    </row>
    <row r="14" spans="1:11">
      <c r="B14" t="s">
        <v>97</v>
      </c>
      <c r="D14" s="5" t="s">
        <v>96</v>
      </c>
      <c r="E14" s="6" t="s">
        <v>107</v>
      </c>
      <c r="G14" t="s">
        <v>80</v>
      </c>
      <c r="H14" t="s">
        <v>81</v>
      </c>
      <c r="I14" t="s">
        <v>103</v>
      </c>
      <c r="J14" s="4" t="s">
        <v>105</v>
      </c>
    </row>
    <row r="15" spans="1:11">
      <c r="B15" t="s">
        <v>109</v>
      </c>
      <c r="D15" s="5" t="s">
        <v>115</v>
      </c>
      <c r="E15" s="6" t="s">
        <v>114</v>
      </c>
      <c r="G15" t="s">
        <v>113</v>
      </c>
      <c r="H15" t="s">
        <v>110</v>
      </c>
      <c r="I15" t="s">
        <v>111</v>
      </c>
      <c r="J15" s="4" t="s">
        <v>112</v>
      </c>
    </row>
    <row r="16" spans="1:11">
      <c r="D16" s="5"/>
      <c r="E16" s="6"/>
      <c r="J16" s="4"/>
    </row>
    <row r="17" spans="2:10">
      <c r="B17" t="s">
        <v>176</v>
      </c>
      <c r="D17" s="5" t="s">
        <v>177</v>
      </c>
      <c r="E17" t="s">
        <v>178</v>
      </c>
      <c r="G17">
        <v>2008</v>
      </c>
      <c r="H17" t="s">
        <v>179</v>
      </c>
      <c r="I17" t="s">
        <v>180</v>
      </c>
      <c r="J17" t="s">
        <v>181</v>
      </c>
    </row>
    <row r="18" spans="2:10">
      <c r="B18" t="s">
        <v>159</v>
      </c>
      <c r="D18" s="5" t="s">
        <v>160</v>
      </c>
      <c r="E18" t="s">
        <v>161</v>
      </c>
      <c r="G18">
        <v>2007</v>
      </c>
      <c r="H18" t="s">
        <v>162</v>
      </c>
      <c r="I18" t="s">
        <v>163</v>
      </c>
      <c r="J18" t="s">
        <v>164</v>
      </c>
    </row>
    <row r="19" spans="2:10">
      <c r="B19" t="s">
        <v>140</v>
      </c>
      <c r="D19" s="5" t="s">
        <v>141</v>
      </c>
      <c r="E19" t="s">
        <v>142</v>
      </c>
      <c r="G19">
        <v>2006</v>
      </c>
      <c r="H19" t="s">
        <v>143</v>
      </c>
      <c r="I19" t="s">
        <v>144</v>
      </c>
      <c r="J19" t="s">
        <v>145</v>
      </c>
    </row>
    <row r="20" spans="2:10">
      <c r="B20" t="s">
        <v>128</v>
      </c>
      <c r="D20" s="5" t="s">
        <v>124</v>
      </c>
      <c r="E20" t="s">
        <v>129</v>
      </c>
      <c r="G20">
        <f>+G19-1</f>
        <v>2005</v>
      </c>
      <c r="H20" t="s">
        <v>125</v>
      </c>
      <c r="I20" t="s">
        <v>126</v>
      </c>
      <c r="J20" t="s">
        <v>127</v>
      </c>
    </row>
    <row r="21" spans="2:10">
      <c r="B21" t="s">
        <v>118</v>
      </c>
      <c r="D21" s="5" t="s">
        <v>119</v>
      </c>
      <c r="E21" t="s">
        <v>89</v>
      </c>
      <c r="G21">
        <f>+G20-1</f>
        <v>2004</v>
      </c>
      <c r="H21" t="s">
        <v>79</v>
      </c>
      <c r="I21" t="s">
        <v>92</v>
      </c>
      <c r="J21" t="s">
        <v>93</v>
      </c>
    </row>
    <row r="22" spans="2:10">
      <c r="B22" t="s">
        <v>120</v>
      </c>
      <c r="D22" s="5" t="s">
        <v>121</v>
      </c>
      <c r="E22" t="s">
        <v>90</v>
      </c>
      <c r="G22">
        <f>+G21-1</f>
        <v>2003</v>
      </c>
      <c r="H22" t="s">
        <v>74</v>
      </c>
      <c r="I22" t="s">
        <v>91</v>
      </c>
      <c r="J22" t="s">
        <v>94</v>
      </c>
    </row>
    <row r="23" spans="2:10">
      <c r="B23" t="s">
        <v>122</v>
      </c>
      <c r="D23" s="5" t="s">
        <v>123</v>
      </c>
      <c r="E23" t="s">
        <v>117</v>
      </c>
      <c r="G23">
        <f>+G22-1</f>
        <v>2002</v>
      </c>
      <c r="H23" t="s">
        <v>146</v>
      </c>
      <c r="I23" t="s">
        <v>147</v>
      </c>
      <c r="J23" t="s">
        <v>148</v>
      </c>
    </row>
  </sheetData>
  <phoneticPr fontId="9" type="noConversion"/>
  <pageMargins left="0.75" right="0.75" top="1" bottom="1" header="0" footer="0"/>
  <pageSetup paperSize="9"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X22"/>
  <sheetViews>
    <sheetView showGridLines="0" tabSelected="1" zoomScale="90" zoomScaleNormal="90" workbookViewId="0"/>
  </sheetViews>
  <sheetFormatPr baseColWidth="10" defaultRowHeight="15"/>
  <cols>
    <col min="1" max="1" width="12.625" style="13" customWidth="1"/>
    <col min="2" max="9" width="12.375" style="13" bestFit="1" customWidth="1"/>
    <col min="10" max="16384" width="11" style="13"/>
  </cols>
  <sheetData>
    <row r="1" spans="1:24" ht="15.75" customHeight="1">
      <c r="A1" s="10" t="s">
        <v>299</v>
      </c>
      <c r="B1" s="75"/>
      <c r="C1" s="75"/>
      <c r="D1" s="75"/>
      <c r="E1" s="75"/>
      <c r="G1" s="75"/>
    </row>
    <row r="2" spans="1:24" ht="15.75" customHeight="1">
      <c r="A2" s="12" t="s">
        <v>1</v>
      </c>
      <c r="B2" s="75"/>
      <c r="C2" s="75"/>
      <c r="D2" s="75"/>
      <c r="E2" s="75"/>
      <c r="G2" s="75"/>
    </row>
    <row r="3" spans="1:24" ht="9.75" customHeight="1">
      <c r="A3" s="12"/>
      <c r="B3" s="75"/>
      <c r="C3" s="75"/>
      <c r="D3" s="75"/>
      <c r="E3" s="75"/>
      <c r="G3" s="75"/>
    </row>
    <row r="4" spans="1:24" s="76" customFormat="1" ht="31.5" customHeight="1">
      <c r="A4" s="27" t="s">
        <v>0</v>
      </c>
      <c r="B4" s="77" t="s">
        <v>121</v>
      </c>
      <c r="C4" s="77" t="s">
        <v>119</v>
      </c>
      <c r="D4" s="77" t="s">
        <v>124</v>
      </c>
      <c r="E4" s="77" t="s">
        <v>141</v>
      </c>
      <c r="F4" s="77" t="s">
        <v>160</v>
      </c>
      <c r="G4" s="77" t="s">
        <v>177</v>
      </c>
      <c r="H4" s="317" t="s">
        <v>186</v>
      </c>
      <c r="I4" s="317" t="s">
        <v>188</v>
      </c>
      <c r="J4" s="317" t="s">
        <v>199</v>
      </c>
      <c r="K4" s="317" t="s">
        <v>200</v>
      </c>
      <c r="L4" s="317" t="s">
        <v>201</v>
      </c>
      <c r="M4" s="317" t="s">
        <v>202</v>
      </c>
      <c r="N4" s="317" t="s">
        <v>354</v>
      </c>
      <c r="O4" s="317" t="s">
        <v>371</v>
      </c>
      <c r="P4" s="317" t="s">
        <v>383</v>
      </c>
      <c r="Q4" s="317" t="s">
        <v>401</v>
      </c>
      <c r="R4" s="317" t="s">
        <v>440</v>
      </c>
      <c r="S4" s="317" t="s">
        <v>465</v>
      </c>
      <c r="T4" s="317" t="s">
        <v>477</v>
      </c>
      <c r="U4" s="317" t="s">
        <v>488</v>
      </c>
      <c r="V4" s="317" t="s">
        <v>499</v>
      </c>
      <c r="W4" s="317" t="s">
        <v>518</v>
      </c>
      <c r="X4" s="317" t="s">
        <v>530</v>
      </c>
    </row>
    <row r="5" spans="1:24" ht="15.75" customHeight="1">
      <c r="A5" s="9" t="s">
        <v>2</v>
      </c>
      <c r="B5" s="393">
        <v>9462997</v>
      </c>
      <c r="C5" s="393">
        <v>10008255</v>
      </c>
      <c r="D5" s="393">
        <v>10621413</v>
      </c>
      <c r="E5" s="393">
        <v>11307715</v>
      </c>
      <c r="F5" s="393">
        <v>10816790</v>
      </c>
      <c r="G5" s="394"/>
      <c r="H5" s="395"/>
      <c r="I5" s="395"/>
      <c r="J5" s="395"/>
      <c r="K5" s="395"/>
      <c r="L5" s="395"/>
      <c r="M5" s="395"/>
      <c r="N5" s="395"/>
      <c r="O5" s="395"/>
      <c r="P5" s="395"/>
      <c r="Q5" s="395"/>
      <c r="R5" s="395"/>
      <c r="S5" s="395"/>
      <c r="T5" s="80"/>
      <c r="U5" s="80"/>
      <c r="V5" s="80"/>
      <c r="W5" s="80"/>
      <c r="X5" s="80"/>
    </row>
    <row r="6" spans="1:24" ht="15.75" customHeight="1">
      <c r="A6" s="9" t="s">
        <v>3</v>
      </c>
      <c r="B6" s="393">
        <v>846358</v>
      </c>
      <c r="C6" s="393">
        <v>878343</v>
      </c>
      <c r="D6" s="393">
        <v>934304</v>
      </c>
      <c r="E6" s="393">
        <v>988967</v>
      </c>
      <c r="F6" s="393">
        <v>1077814</v>
      </c>
      <c r="G6" s="393">
        <v>1166838</v>
      </c>
      <c r="H6" s="393">
        <v>1262259</v>
      </c>
      <c r="I6" s="395"/>
      <c r="J6" s="395"/>
      <c r="K6" s="395"/>
      <c r="L6" s="395"/>
      <c r="M6" s="395"/>
      <c r="N6" s="395"/>
      <c r="O6" s="395"/>
      <c r="P6" s="395"/>
      <c r="Q6" s="395"/>
      <c r="R6" s="395"/>
      <c r="S6" s="395"/>
      <c r="T6" s="80"/>
      <c r="U6" s="80"/>
      <c r="V6" s="80"/>
      <c r="W6" s="80"/>
      <c r="X6" s="80"/>
    </row>
    <row r="7" spans="1:24" ht="15.75" customHeight="1">
      <c r="A7" s="9" t="s">
        <v>4</v>
      </c>
      <c r="B7" s="393">
        <v>6979351</v>
      </c>
      <c r="C7" s="393">
        <v>7080646</v>
      </c>
      <c r="D7" s="393">
        <v>7394506</v>
      </c>
      <c r="E7" s="393">
        <v>7683451</v>
      </c>
      <c r="F7" s="393">
        <v>8043808</v>
      </c>
      <c r="G7" s="393">
        <v>8372475</v>
      </c>
      <c r="H7" s="393">
        <v>8558713</v>
      </c>
      <c r="I7" s="393">
        <v>8751068</v>
      </c>
      <c r="J7" s="393">
        <v>8957495</v>
      </c>
      <c r="K7" s="393">
        <v>9268872</v>
      </c>
      <c r="L7" s="396">
        <v>9525048</v>
      </c>
      <c r="M7" s="396">
        <v>9746467</v>
      </c>
      <c r="N7" s="396">
        <v>9961722</v>
      </c>
      <c r="O7" s="396">
        <v>10178437</v>
      </c>
      <c r="P7" s="396">
        <v>10433137</v>
      </c>
      <c r="Q7" s="396">
        <v>10705051</v>
      </c>
      <c r="R7" s="396">
        <v>10950865</v>
      </c>
      <c r="S7" s="396">
        <v>11081375</v>
      </c>
      <c r="T7" s="396">
        <v>11358539</v>
      </c>
      <c r="U7" s="396">
        <v>11611981</v>
      </c>
      <c r="V7" s="396">
        <v>11831178</v>
      </c>
      <c r="W7" s="396">
        <v>11923850</v>
      </c>
      <c r="X7" s="396">
        <v>12112802</v>
      </c>
    </row>
    <row r="8" spans="1:24" ht="15.75" customHeight="1">
      <c r="A8" s="9" t="s">
        <v>5</v>
      </c>
      <c r="B8" s="393">
        <v>5213023</v>
      </c>
      <c r="C8" s="393">
        <v>5747396</v>
      </c>
      <c r="D8" s="393">
        <v>6361763</v>
      </c>
      <c r="E8" s="393">
        <v>7010287</v>
      </c>
      <c r="F8" s="393">
        <v>7814535</v>
      </c>
      <c r="G8" s="393">
        <v>8568274</v>
      </c>
      <c r="H8" s="393">
        <v>8741656</v>
      </c>
      <c r="I8" s="393">
        <v>9270422</v>
      </c>
      <c r="J8" s="396">
        <v>10039366</v>
      </c>
      <c r="K8" s="396">
        <v>10833256</v>
      </c>
      <c r="L8" s="396">
        <v>11738942</v>
      </c>
      <c r="M8" s="396">
        <v>12538226</v>
      </c>
      <c r="N8" s="396">
        <v>13296191</v>
      </c>
      <c r="O8" s="396">
        <v>14115397</v>
      </c>
      <c r="P8" s="396">
        <v>14841656</v>
      </c>
      <c r="Q8" s="396" t="s">
        <v>149</v>
      </c>
      <c r="R8" s="396" t="s">
        <v>149</v>
      </c>
      <c r="S8" s="396" t="s">
        <v>149</v>
      </c>
      <c r="T8" s="67">
        <v>17937060</v>
      </c>
      <c r="U8" s="67">
        <v>18734425</v>
      </c>
      <c r="V8" s="67">
        <v>19035866</v>
      </c>
      <c r="W8" s="67">
        <v>19210567</v>
      </c>
      <c r="X8" s="67">
        <v>19382824</v>
      </c>
    </row>
    <row r="9" spans="1:24" ht="15.75" customHeight="1">
      <c r="A9" s="9" t="s">
        <v>50</v>
      </c>
      <c r="B9" s="393">
        <v>1140021</v>
      </c>
      <c r="C9" s="393">
        <v>1273943</v>
      </c>
      <c r="D9" s="393">
        <v>1430609</v>
      </c>
      <c r="E9" s="393">
        <v>1542151</v>
      </c>
      <c r="F9" s="393">
        <v>1646405</v>
      </c>
      <c r="G9" s="393">
        <v>1747195</v>
      </c>
      <c r="H9" s="393">
        <v>1849419</v>
      </c>
      <c r="I9" s="393">
        <v>1930330</v>
      </c>
      <c r="J9" s="67">
        <v>2054090</v>
      </c>
      <c r="K9" s="397">
        <v>2156706</v>
      </c>
      <c r="L9" s="397">
        <v>2240612</v>
      </c>
      <c r="M9" s="397">
        <v>2323516</v>
      </c>
      <c r="N9" s="398">
        <v>2399404</v>
      </c>
      <c r="O9" s="67">
        <v>2486826</v>
      </c>
      <c r="P9" s="67">
        <v>2577828</v>
      </c>
      <c r="Q9" s="67">
        <v>2664525</v>
      </c>
      <c r="R9" s="67">
        <v>2741177</v>
      </c>
      <c r="S9" s="67">
        <v>2797801</v>
      </c>
      <c r="T9" s="67">
        <v>2875722</v>
      </c>
      <c r="U9" s="67">
        <v>2979039</v>
      </c>
      <c r="V9" s="67">
        <v>3037008</v>
      </c>
      <c r="W9" s="67">
        <v>3139977</v>
      </c>
      <c r="X9" s="67">
        <v>3234809</v>
      </c>
    </row>
    <row r="10" spans="1:24" ht="15.75" customHeight="1">
      <c r="A10" s="9" t="s">
        <v>6</v>
      </c>
      <c r="B10" s="393">
        <v>1074493</v>
      </c>
      <c r="C10" s="393">
        <v>1166602</v>
      </c>
      <c r="D10" s="393">
        <v>1279714</v>
      </c>
      <c r="E10" s="393">
        <v>1437474</v>
      </c>
      <c r="F10" s="393">
        <v>1579410</v>
      </c>
      <c r="G10" s="393">
        <v>1817197</v>
      </c>
      <c r="H10" s="393">
        <v>1939436</v>
      </c>
      <c r="I10" s="393">
        <v>2036931</v>
      </c>
      <c r="J10" s="393">
        <v>2204168</v>
      </c>
      <c r="K10" s="393">
        <v>2359207</v>
      </c>
      <c r="L10" s="393">
        <v>2507349</v>
      </c>
      <c r="M10" s="393">
        <v>2642274</v>
      </c>
      <c r="N10" s="396">
        <v>2788189</v>
      </c>
      <c r="O10" s="67">
        <v>2928929</v>
      </c>
      <c r="P10" s="67">
        <v>3068266</v>
      </c>
      <c r="Q10" s="67">
        <v>3210696</v>
      </c>
      <c r="R10" s="396">
        <v>3359296</v>
      </c>
      <c r="S10" s="396">
        <v>3449626</v>
      </c>
      <c r="T10" s="396">
        <v>3577460</v>
      </c>
      <c r="U10" s="396" t="s">
        <v>149</v>
      </c>
      <c r="V10" s="396" t="s">
        <v>149</v>
      </c>
      <c r="W10" s="396" t="s">
        <v>149</v>
      </c>
      <c r="X10" s="396" t="s">
        <v>149</v>
      </c>
    </row>
    <row r="11" spans="1:24" ht="15.75" customHeight="1">
      <c r="A11" s="9" t="s">
        <v>7</v>
      </c>
      <c r="B11" s="393">
        <v>31398282</v>
      </c>
      <c r="C11" s="393">
        <v>33316492</v>
      </c>
      <c r="D11" s="393">
        <v>35276277</v>
      </c>
      <c r="E11" s="393">
        <v>37408828</v>
      </c>
      <c r="F11" s="393">
        <v>38531579</v>
      </c>
      <c r="G11" s="393">
        <v>39063971</v>
      </c>
      <c r="H11" s="393">
        <v>39891316</v>
      </c>
      <c r="I11" s="393">
        <v>41236121</v>
      </c>
      <c r="J11" s="396">
        <v>42512267</v>
      </c>
      <c r="K11" s="396">
        <v>48530475</v>
      </c>
      <c r="L11" s="396">
        <v>50878419</v>
      </c>
      <c r="M11" s="396">
        <v>52728388</v>
      </c>
      <c r="N11" s="399">
        <v>54353450</v>
      </c>
      <c r="O11" s="67">
        <v>57277015</v>
      </c>
      <c r="P11" s="396">
        <v>60002883</v>
      </c>
      <c r="Q11" s="396">
        <v>62879959</v>
      </c>
      <c r="R11" s="396">
        <v>65837742</v>
      </c>
      <c r="S11" s="396">
        <v>68153091</v>
      </c>
      <c r="T11" s="396">
        <v>70436333</v>
      </c>
      <c r="U11" s="396">
        <v>72473103</v>
      </c>
      <c r="V11" s="396">
        <v>74237289</v>
      </c>
      <c r="W11" s="396">
        <v>68679741</v>
      </c>
      <c r="X11" s="396">
        <v>69734694</v>
      </c>
    </row>
    <row r="12" spans="1:24" ht="15.75" customHeight="1">
      <c r="A12" s="9" t="s">
        <v>369</v>
      </c>
      <c r="B12" s="396" t="s">
        <v>149</v>
      </c>
      <c r="C12" s="396" t="s">
        <v>149</v>
      </c>
      <c r="D12" s="396" t="s">
        <v>149</v>
      </c>
      <c r="E12" s="396" t="s">
        <v>149</v>
      </c>
      <c r="F12" s="396" t="s">
        <v>149</v>
      </c>
      <c r="G12" s="396" t="s">
        <v>149</v>
      </c>
      <c r="H12" s="393">
        <v>41771</v>
      </c>
      <c r="I12" s="396" t="s">
        <v>149</v>
      </c>
      <c r="J12" s="396" t="s">
        <v>149</v>
      </c>
      <c r="K12" s="396" t="s">
        <v>149</v>
      </c>
      <c r="L12" s="396" t="s">
        <v>149</v>
      </c>
      <c r="M12" s="396">
        <v>66882</v>
      </c>
      <c r="N12" s="399">
        <f>33827+33220</f>
        <v>67047</v>
      </c>
      <c r="O12" s="396">
        <v>71146</v>
      </c>
      <c r="P12" s="396">
        <v>75323</v>
      </c>
      <c r="Q12" s="396">
        <v>61836</v>
      </c>
      <c r="R12" s="396">
        <v>67052</v>
      </c>
      <c r="S12" s="396">
        <v>65328</v>
      </c>
      <c r="T12" s="396">
        <v>66179</v>
      </c>
      <c r="U12" s="396">
        <v>71802</v>
      </c>
      <c r="V12" s="396">
        <v>78637</v>
      </c>
      <c r="W12" s="396">
        <v>86309</v>
      </c>
      <c r="X12" s="396">
        <v>97252</v>
      </c>
    </row>
    <row r="13" spans="1:24" ht="15.75" customHeight="1">
      <c r="A13" s="9" t="s">
        <v>363</v>
      </c>
      <c r="B13" s="396" t="s">
        <v>149</v>
      </c>
      <c r="C13" s="396" t="s">
        <v>149</v>
      </c>
      <c r="D13" s="396" t="s">
        <v>149</v>
      </c>
      <c r="E13" s="396" t="s">
        <v>149</v>
      </c>
      <c r="F13" s="396" t="s">
        <v>149</v>
      </c>
      <c r="G13" s="396" t="s">
        <v>149</v>
      </c>
      <c r="H13" s="396" t="s">
        <v>149</v>
      </c>
      <c r="I13" s="396" t="s">
        <v>149</v>
      </c>
      <c r="J13" s="396" t="s">
        <v>149</v>
      </c>
      <c r="K13" s="396" t="s">
        <v>149</v>
      </c>
      <c r="L13" s="396" t="s">
        <v>149</v>
      </c>
      <c r="M13" s="396" t="s">
        <v>149</v>
      </c>
      <c r="N13" s="396">
        <f>87710+355031</f>
        <v>442741</v>
      </c>
      <c r="O13" s="396">
        <v>457833</v>
      </c>
      <c r="P13" s="396">
        <v>470091</v>
      </c>
      <c r="Q13" s="73">
        <v>478084</v>
      </c>
      <c r="R13" s="73">
        <v>487272</v>
      </c>
      <c r="S13" s="73">
        <v>504675</v>
      </c>
      <c r="T13" s="73">
        <v>175030</v>
      </c>
      <c r="U13" s="73">
        <v>184015</v>
      </c>
      <c r="V13" s="73">
        <v>574013</v>
      </c>
      <c r="W13" s="73">
        <v>177801</v>
      </c>
      <c r="X13" s="73">
        <v>182349</v>
      </c>
    </row>
    <row r="14" spans="1:24" ht="15.75" customHeight="1">
      <c r="A14" s="9" t="s">
        <v>8</v>
      </c>
      <c r="B14" s="393">
        <v>3192503</v>
      </c>
      <c r="C14" s="393">
        <v>3397047</v>
      </c>
      <c r="D14" s="393">
        <v>3636876</v>
      </c>
      <c r="E14" s="393">
        <v>3882185</v>
      </c>
      <c r="F14" s="393">
        <v>4101060</v>
      </c>
      <c r="G14" s="393">
        <v>4296480</v>
      </c>
      <c r="H14" s="393">
        <v>4458045</v>
      </c>
      <c r="I14" s="393">
        <v>4641688</v>
      </c>
      <c r="J14" s="393">
        <v>4928298</v>
      </c>
      <c r="K14" s="393">
        <v>5268457</v>
      </c>
      <c r="L14" s="393">
        <v>5481770</v>
      </c>
      <c r="M14" s="393">
        <v>5727865</v>
      </c>
      <c r="N14" s="393">
        <v>5963069</v>
      </c>
      <c r="O14" s="393">
        <v>6264103</v>
      </c>
      <c r="P14" s="393">
        <v>6604841</v>
      </c>
      <c r="Q14" s="393">
        <v>7018669</v>
      </c>
      <c r="R14" s="393">
        <v>7426708</v>
      </c>
      <c r="S14" s="393">
        <v>7780721</v>
      </c>
      <c r="T14" s="393">
        <v>8251977</v>
      </c>
      <c r="U14" s="393">
        <v>8816304</v>
      </c>
      <c r="V14" s="393">
        <v>9286247</v>
      </c>
      <c r="W14" s="393">
        <v>9795699</v>
      </c>
      <c r="X14" s="393">
        <v>10290313</v>
      </c>
    </row>
    <row r="15" spans="1:24" ht="15.75" customHeight="1">
      <c r="A15" s="9" t="s">
        <v>82</v>
      </c>
      <c r="B15" s="393">
        <v>831456</v>
      </c>
      <c r="C15" s="393">
        <v>1033349</v>
      </c>
      <c r="D15" s="393">
        <v>1275028</v>
      </c>
      <c r="E15" s="393">
        <v>1436694</v>
      </c>
      <c r="F15" s="393">
        <v>1648295</v>
      </c>
      <c r="G15" s="393">
        <v>1838217</v>
      </c>
      <c r="H15" s="393">
        <v>2020035</v>
      </c>
      <c r="I15" s="393">
        <v>2195047</v>
      </c>
      <c r="J15" s="393">
        <v>2284023</v>
      </c>
      <c r="K15" s="393">
        <v>2526370</v>
      </c>
      <c r="L15" s="393">
        <v>2688401</v>
      </c>
      <c r="M15" s="393">
        <v>2865608</v>
      </c>
      <c r="N15" s="399">
        <v>3056810</v>
      </c>
      <c r="O15" s="399">
        <v>3257840</v>
      </c>
      <c r="P15" s="400">
        <v>3479152</v>
      </c>
      <c r="Q15" s="400">
        <v>3693337</v>
      </c>
      <c r="R15" s="400">
        <v>3898040</v>
      </c>
      <c r="S15" s="400">
        <v>4059997</v>
      </c>
      <c r="T15" s="400">
        <v>4179000</v>
      </c>
      <c r="U15" s="400">
        <v>4430012</v>
      </c>
      <c r="V15" s="400">
        <v>4774292</v>
      </c>
      <c r="W15" s="400">
        <v>4964764</v>
      </c>
      <c r="X15" s="400">
        <v>5116093</v>
      </c>
    </row>
    <row r="16" spans="1:24" ht="15.75" customHeight="1">
      <c r="A16" s="9" t="s">
        <v>9</v>
      </c>
      <c r="B16" s="393">
        <v>635888</v>
      </c>
      <c r="C16" s="393">
        <v>659774</v>
      </c>
      <c r="D16" s="393">
        <v>687100</v>
      </c>
      <c r="E16" s="393">
        <v>723271</v>
      </c>
      <c r="F16" s="393">
        <v>773134</v>
      </c>
      <c r="G16" s="393">
        <v>841945</v>
      </c>
      <c r="H16" s="393">
        <v>912218</v>
      </c>
      <c r="I16" s="393">
        <v>998128</v>
      </c>
      <c r="J16" s="396" t="s">
        <v>149</v>
      </c>
      <c r="K16" s="396">
        <v>1148528</v>
      </c>
      <c r="L16" s="396">
        <v>1209875</v>
      </c>
      <c r="M16" s="396">
        <v>1259336</v>
      </c>
      <c r="N16" s="399">
        <v>1304700</v>
      </c>
      <c r="O16" s="396">
        <v>1342745</v>
      </c>
      <c r="P16" s="396">
        <v>1382135</v>
      </c>
      <c r="Q16" s="396">
        <v>1415522</v>
      </c>
      <c r="R16" s="396">
        <v>1445573</v>
      </c>
      <c r="S16" s="396">
        <v>1468580</v>
      </c>
      <c r="T16" s="396">
        <v>1493569</v>
      </c>
      <c r="U16" s="396">
        <v>1541604</v>
      </c>
      <c r="V16" s="396">
        <v>1588298</v>
      </c>
      <c r="W16" s="396">
        <v>1673282</v>
      </c>
      <c r="X16" s="396">
        <v>1728349</v>
      </c>
    </row>
    <row r="17" spans="1:24" ht="5.0999999999999996" customHeight="1">
      <c r="A17" s="9"/>
      <c r="B17" s="128"/>
      <c r="C17" s="128"/>
      <c r="D17" s="128"/>
      <c r="E17" s="128"/>
      <c r="F17" s="128"/>
      <c r="G17" s="128"/>
      <c r="H17" s="124"/>
      <c r="P17" s="392"/>
      <c r="U17" s="396"/>
      <c r="V17" s="396"/>
      <c r="W17" s="396"/>
      <c r="X17" s="396"/>
    </row>
    <row r="18" spans="1:24" s="84" customFormat="1" ht="15.75" customHeight="1">
      <c r="A18" s="85" t="s">
        <v>10</v>
      </c>
      <c r="B18" s="86">
        <v>60774372</v>
      </c>
      <c r="C18" s="86">
        <v>64561847</v>
      </c>
      <c r="D18" s="86">
        <v>68897590</v>
      </c>
      <c r="E18" s="86">
        <v>73421023</v>
      </c>
      <c r="F18" s="86">
        <v>76032830</v>
      </c>
      <c r="G18" s="86">
        <v>67712592</v>
      </c>
      <c r="H18" s="86">
        <f t="shared" ref="H18:X18" si="0">SUM(H6:H17)</f>
        <v>69674868</v>
      </c>
      <c r="I18" s="86">
        <f t="shared" si="0"/>
        <v>71059735</v>
      </c>
      <c r="J18" s="86">
        <f t="shared" si="0"/>
        <v>72979707</v>
      </c>
      <c r="K18" s="86">
        <f t="shared" si="0"/>
        <v>82091871</v>
      </c>
      <c r="L18" s="86">
        <f t="shared" si="0"/>
        <v>86270416</v>
      </c>
      <c r="M18" s="86">
        <f t="shared" si="0"/>
        <v>89898562</v>
      </c>
      <c r="N18" s="86">
        <f t="shared" si="0"/>
        <v>93633323</v>
      </c>
      <c r="O18" s="86">
        <f t="shared" si="0"/>
        <v>98380271</v>
      </c>
      <c r="P18" s="86">
        <f t="shared" si="0"/>
        <v>102935312</v>
      </c>
      <c r="Q18" s="86">
        <f t="shared" si="0"/>
        <v>92127679</v>
      </c>
      <c r="R18" s="86">
        <f t="shared" si="0"/>
        <v>96213725</v>
      </c>
      <c r="S18" s="86">
        <f t="shared" si="0"/>
        <v>99361194</v>
      </c>
      <c r="T18" s="86">
        <f t="shared" si="0"/>
        <v>120350869</v>
      </c>
      <c r="U18" s="86">
        <f t="shared" si="0"/>
        <v>120842285</v>
      </c>
      <c r="V18" s="86">
        <f t="shared" si="0"/>
        <v>124442828</v>
      </c>
      <c r="W18" s="86">
        <f t="shared" si="0"/>
        <v>119651990</v>
      </c>
      <c r="X18" s="86">
        <f t="shared" si="0"/>
        <v>121879485</v>
      </c>
    </row>
    <row r="19" spans="1:24" ht="14.1" customHeight="1">
      <c r="A19" s="9"/>
      <c r="B19" s="87"/>
      <c r="C19" s="87"/>
      <c r="D19" s="87"/>
      <c r="E19" s="87"/>
      <c r="G19" s="87"/>
      <c r="H19" s="98"/>
    </row>
    <row r="20" spans="1:24">
      <c r="A20" s="89" t="s">
        <v>393</v>
      </c>
      <c r="B20" s="89"/>
      <c r="C20" s="89"/>
      <c r="D20" s="89"/>
      <c r="E20" s="89"/>
      <c r="F20" s="89"/>
    </row>
    <row r="21" spans="1:24">
      <c r="A21" s="89"/>
      <c r="B21" s="89"/>
      <c r="C21" s="89"/>
      <c r="D21" s="89"/>
      <c r="E21" s="89"/>
      <c r="F21" s="89"/>
    </row>
    <row r="22" spans="1:24" ht="25.5" customHeight="1">
      <c r="A22" s="89"/>
      <c r="B22" s="89"/>
      <c r="C22" s="89"/>
      <c r="D22" s="89"/>
      <c r="E22" s="89"/>
      <c r="F22" s="89"/>
    </row>
  </sheetData>
  <phoneticPr fontId="9" type="noConversion"/>
  <printOptions horizontalCentered="1"/>
  <pageMargins left="0.70866141732283472" right="0.70866141732283472" top="0.74803149606299213" bottom="0.74803149606299213" header="0.31496062992125984" footer="0.31496062992125984"/>
  <pageSetup scale="68" orientation="landscape" r:id="rId1"/>
  <headerFooter alignWithMargins="0">
    <oddHeader>&amp;A</oddHeader>
    <oddFooter>&amp;L&amp;F&amp;R&amp;D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07"/>
  <sheetViews>
    <sheetView showGridLines="0" zoomScale="90" zoomScaleNormal="90" workbookViewId="0"/>
  </sheetViews>
  <sheetFormatPr baseColWidth="10" defaultRowHeight="15"/>
  <cols>
    <col min="1" max="1" width="12.625" style="13" customWidth="1"/>
    <col min="2" max="5" width="7.625" style="13" customWidth="1"/>
    <col min="6" max="6" width="10.375" style="13" customWidth="1"/>
    <col min="7" max="7" width="9.5" style="13" customWidth="1"/>
    <col min="8" max="16384" width="11" style="13"/>
  </cols>
  <sheetData>
    <row r="1" spans="1:7" s="11" customFormat="1" ht="15.75" customHeight="1">
      <c r="A1" s="10" t="s">
        <v>300</v>
      </c>
    </row>
    <row r="2" spans="1:7" s="11" customFormat="1" ht="15.75" customHeight="1">
      <c r="A2" s="12" t="s">
        <v>187</v>
      </c>
    </row>
    <row r="3" spans="1:7" s="11" customFormat="1" ht="6.75" customHeight="1">
      <c r="A3" s="12"/>
    </row>
    <row r="4" spans="1:7" ht="15.75" hidden="1" customHeight="1">
      <c r="A4" s="14" t="s">
        <v>0</v>
      </c>
      <c r="B4" s="16" t="s">
        <v>11</v>
      </c>
      <c r="C4" s="16" t="s">
        <v>12</v>
      </c>
      <c r="D4" s="16" t="s">
        <v>13</v>
      </c>
      <c r="E4" s="16" t="s">
        <v>14</v>
      </c>
      <c r="F4" s="16" t="s">
        <v>15</v>
      </c>
      <c r="G4" s="17" t="s">
        <v>10</v>
      </c>
    </row>
    <row r="5" spans="1:7" ht="4.5" hidden="1" customHeight="1">
      <c r="A5" s="15"/>
      <c r="B5" s="18"/>
      <c r="C5" s="18"/>
      <c r="D5" s="18"/>
      <c r="E5" s="18"/>
      <c r="F5" s="18"/>
      <c r="G5" s="19"/>
    </row>
    <row r="6" spans="1:7" ht="15.75" hidden="1" customHeight="1">
      <c r="A6" s="9" t="s">
        <v>2</v>
      </c>
      <c r="B6" s="20">
        <v>0</v>
      </c>
      <c r="C6" s="20">
        <v>0</v>
      </c>
      <c r="D6" s="20">
        <v>0</v>
      </c>
      <c r="E6" s="20">
        <v>0</v>
      </c>
      <c r="F6" s="20">
        <v>0</v>
      </c>
      <c r="G6" s="20">
        <v>0</v>
      </c>
    </row>
    <row r="7" spans="1:7" ht="15.75" hidden="1" customHeight="1">
      <c r="A7" s="9" t="s">
        <v>3</v>
      </c>
      <c r="B7" s="20">
        <v>262550</v>
      </c>
      <c r="C7" s="20">
        <v>517093</v>
      </c>
      <c r="D7" s="20">
        <v>288533</v>
      </c>
      <c r="E7" s="20">
        <v>98662</v>
      </c>
      <c r="F7" s="20">
        <v>0</v>
      </c>
      <c r="G7" s="20">
        <v>1166838</v>
      </c>
    </row>
    <row r="8" spans="1:7" ht="15.75" hidden="1" customHeight="1">
      <c r="A8" s="9" t="s">
        <v>4</v>
      </c>
      <c r="B8" s="20">
        <v>2511375</v>
      </c>
      <c r="C8" s="20">
        <v>3427940</v>
      </c>
      <c r="D8" s="20">
        <v>2155899</v>
      </c>
      <c r="E8" s="20">
        <v>277260</v>
      </c>
      <c r="F8" s="20">
        <v>1</v>
      </c>
      <c r="G8" s="20">
        <v>8372475</v>
      </c>
    </row>
    <row r="9" spans="1:7" ht="15.75" hidden="1" customHeight="1">
      <c r="A9" s="9" t="s">
        <v>5</v>
      </c>
      <c r="B9" s="20">
        <v>3213328</v>
      </c>
      <c r="C9" s="20">
        <v>4145502</v>
      </c>
      <c r="D9" s="20">
        <v>1176110</v>
      </c>
      <c r="E9" s="20">
        <v>33334</v>
      </c>
      <c r="F9" s="20">
        <v>0</v>
      </c>
      <c r="G9" s="20">
        <v>8568274</v>
      </c>
    </row>
    <row r="10" spans="1:7" ht="15.75" hidden="1" customHeight="1">
      <c r="A10" s="9" t="s">
        <v>50</v>
      </c>
      <c r="B10" s="20">
        <v>696336</v>
      </c>
      <c r="C10" s="20">
        <v>612579</v>
      </c>
      <c r="D10" s="20">
        <v>356481</v>
      </c>
      <c r="E10" s="20">
        <v>81465</v>
      </c>
      <c r="F10" s="20">
        <v>0</v>
      </c>
      <c r="G10" s="20">
        <v>1746861</v>
      </c>
    </row>
    <row r="11" spans="1:7" ht="15.75" hidden="1" customHeight="1">
      <c r="A11" s="9" t="s">
        <v>6</v>
      </c>
      <c r="B11" s="20">
        <v>768322</v>
      </c>
      <c r="C11" s="20">
        <v>767351</v>
      </c>
      <c r="D11" s="20">
        <v>256891</v>
      </c>
      <c r="E11" s="20">
        <v>24633</v>
      </c>
      <c r="F11" s="20">
        <v>0</v>
      </c>
      <c r="G11" s="20">
        <v>1817197</v>
      </c>
    </row>
    <row r="12" spans="1:7" ht="15.75" hidden="1" customHeight="1">
      <c r="A12" s="9" t="s">
        <v>7</v>
      </c>
      <c r="B12" s="20">
        <v>13690570</v>
      </c>
      <c r="C12" s="20">
        <v>16446812</v>
      </c>
      <c r="D12" s="20">
        <v>6678776</v>
      </c>
      <c r="E12" s="20">
        <v>2247813</v>
      </c>
      <c r="F12" s="20">
        <v>0</v>
      </c>
      <c r="G12" s="20">
        <v>39063971</v>
      </c>
    </row>
    <row r="13" spans="1:7" ht="15.75" hidden="1" customHeight="1">
      <c r="A13" s="9" t="s">
        <v>8</v>
      </c>
      <c r="B13" s="20">
        <v>1338996</v>
      </c>
      <c r="C13" s="20">
        <v>2025923</v>
      </c>
      <c r="D13" s="20">
        <v>813410</v>
      </c>
      <c r="E13" s="20">
        <v>118151</v>
      </c>
      <c r="F13" s="20">
        <v>0</v>
      </c>
      <c r="G13" s="20">
        <v>4296480</v>
      </c>
    </row>
    <row r="14" spans="1:7" ht="15.75" hidden="1" customHeight="1">
      <c r="A14" s="9" t="s">
        <v>82</v>
      </c>
      <c r="B14" s="20">
        <v>871534</v>
      </c>
      <c r="C14" s="20">
        <v>671723</v>
      </c>
      <c r="D14" s="20">
        <v>240469</v>
      </c>
      <c r="E14" s="20">
        <v>54491</v>
      </c>
      <c r="F14" s="20">
        <v>0</v>
      </c>
      <c r="G14" s="20">
        <v>1838217</v>
      </c>
    </row>
    <row r="15" spans="1:7" ht="15.75" hidden="1" customHeight="1">
      <c r="A15" s="9" t="s">
        <v>9</v>
      </c>
      <c r="B15" s="20">
        <v>213013</v>
      </c>
      <c r="C15" s="20">
        <v>429220</v>
      </c>
      <c r="D15" s="20">
        <v>195468</v>
      </c>
      <c r="E15" s="20">
        <v>4244</v>
      </c>
      <c r="F15" s="20">
        <v>0</v>
      </c>
      <c r="G15" s="20">
        <v>841945</v>
      </c>
    </row>
    <row r="16" spans="1:7" ht="4.5" hidden="1" customHeight="1">
      <c r="A16" s="9"/>
      <c r="B16" s="21"/>
      <c r="C16" s="21"/>
      <c r="D16" s="21"/>
      <c r="E16" s="21"/>
      <c r="F16" s="21"/>
      <c r="G16" s="21"/>
    </row>
    <row r="17" spans="1:7" ht="15.75" hidden="1" customHeight="1">
      <c r="A17" s="22" t="s">
        <v>10</v>
      </c>
      <c r="B17" s="24">
        <v>23566024</v>
      </c>
      <c r="C17" s="24">
        <v>29044143</v>
      </c>
      <c r="D17" s="24">
        <v>12162037</v>
      </c>
      <c r="E17" s="24">
        <v>2940053</v>
      </c>
      <c r="F17" s="24">
        <v>1</v>
      </c>
      <c r="G17" s="24">
        <v>67712258</v>
      </c>
    </row>
    <row r="18" spans="1:7" ht="15.75" hidden="1" customHeight="1">
      <c r="A18" s="9"/>
      <c r="B18" s="25"/>
      <c r="C18" s="25"/>
      <c r="D18" s="25"/>
      <c r="E18" s="25"/>
      <c r="F18" s="26"/>
      <c r="G18" s="26"/>
    </row>
    <row r="19" spans="1:7" ht="30" customHeight="1">
      <c r="A19" s="692" t="s">
        <v>0</v>
      </c>
      <c r="B19" s="691" t="s">
        <v>11</v>
      </c>
      <c r="C19" s="691" t="s">
        <v>12</v>
      </c>
      <c r="D19" s="691" t="s">
        <v>13</v>
      </c>
      <c r="E19" s="691" t="s">
        <v>14</v>
      </c>
      <c r="F19" s="691" t="s">
        <v>10</v>
      </c>
      <c r="G19" s="27" t="s">
        <v>1</v>
      </c>
    </row>
    <row r="20" spans="1:7" ht="11.25" customHeight="1">
      <c r="A20" s="692"/>
      <c r="B20" s="691"/>
      <c r="C20" s="691"/>
      <c r="D20" s="691"/>
      <c r="E20" s="691"/>
      <c r="F20" s="691"/>
      <c r="G20" s="28" t="s">
        <v>185</v>
      </c>
    </row>
    <row r="21" spans="1:7" ht="8.1" customHeight="1">
      <c r="A21" s="29"/>
      <c r="B21" s="29"/>
      <c r="C21" s="29"/>
      <c r="D21" s="29"/>
      <c r="E21" s="29"/>
      <c r="F21" s="29"/>
      <c r="G21" s="29"/>
    </row>
    <row r="22" spans="1:7" ht="15.75" customHeight="1">
      <c r="A22" s="30" t="s">
        <v>3</v>
      </c>
      <c r="B22" s="31"/>
      <c r="C22" s="31"/>
      <c r="D22" s="31"/>
      <c r="E22" s="31"/>
      <c r="F22" s="31"/>
      <c r="G22" s="32"/>
    </row>
    <row r="23" spans="1:7" ht="15.75" customHeight="1">
      <c r="A23" s="30" t="s">
        <v>4</v>
      </c>
      <c r="B23" s="33">
        <v>29.33235120558999</v>
      </c>
      <c r="C23" s="33">
        <v>39.277171654934001</v>
      </c>
      <c r="D23" s="33">
        <v>27.709052197971722</v>
      </c>
      <c r="E23" s="33">
        <v>3.6804993401948196</v>
      </c>
      <c r="F23" s="34">
        <v>100</v>
      </c>
      <c r="G23" s="35">
        <v>8.7510680000000001</v>
      </c>
    </row>
    <row r="24" spans="1:7" ht="15.75" customHeight="1">
      <c r="A24" s="30" t="s">
        <v>5</v>
      </c>
      <c r="B24" s="33">
        <v>37.985595477746323</v>
      </c>
      <c r="C24" s="33">
        <v>46.403809880499509</v>
      </c>
      <c r="D24" s="33">
        <v>14.977193055504918</v>
      </c>
      <c r="E24" s="33">
        <v>0.63340158624925591</v>
      </c>
      <c r="F24" s="34">
        <v>100</v>
      </c>
      <c r="G24" s="35">
        <v>9.2704219999999999</v>
      </c>
    </row>
    <row r="25" spans="1:7" ht="15.75" customHeight="1">
      <c r="A25" s="30" t="s">
        <v>50</v>
      </c>
      <c r="B25" s="33">
        <v>37.263783912595258</v>
      </c>
      <c r="C25" s="33">
        <v>35.537913206550172</v>
      </c>
      <c r="D25" s="33">
        <v>21.560044137530891</v>
      </c>
      <c r="E25" s="33">
        <v>5.5419021618065303</v>
      </c>
      <c r="F25" s="34">
        <v>100</v>
      </c>
      <c r="G25" s="35">
        <v>1.9303300000000001</v>
      </c>
    </row>
    <row r="26" spans="1:7" ht="15.75" customHeight="1">
      <c r="A26" s="30" t="s">
        <v>6</v>
      </c>
      <c r="B26" s="33">
        <v>38.768863550115348</v>
      </c>
      <c r="C26" s="33">
        <v>43.668734974331478</v>
      </c>
      <c r="D26" s="33">
        <v>15.580252841161531</v>
      </c>
      <c r="E26" s="33">
        <v>1.9821486343916412</v>
      </c>
      <c r="F26" s="34">
        <v>100</v>
      </c>
      <c r="G26" s="35">
        <v>2.036931</v>
      </c>
    </row>
    <row r="27" spans="1:7" ht="15.75" customHeight="1">
      <c r="A27" s="30" t="s">
        <v>7</v>
      </c>
      <c r="B27" s="33">
        <v>28.462095161666639</v>
      </c>
      <c r="C27" s="33">
        <v>45.518864395610834</v>
      </c>
      <c r="D27" s="33">
        <v>19.070091486054181</v>
      </c>
      <c r="E27" s="33">
        <v>6.9489489566683531</v>
      </c>
      <c r="F27" s="34">
        <v>100</v>
      </c>
      <c r="G27" s="35">
        <v>41.236120999999997</v>
      </c>
    </row>
    <row r="28" spans="1:7" ht="15.75" customHeight="1">
      <c r="A28" s="30" t="s">
        <v>184</v>
      </c>
      <c r="B28" s="34"/>
      <c r="C28" s="34"/>
      <c r="D28" s="34"/>
      <c r="E28" s="34"/>
      <c r="F28" s="34">
        <v>100</v>
      </c>
      <c r="G28" s="35"/>
    </row>
    <row r="29" spans="1:7" ht="15.75" customHeight="1">
      <c r="A29" s="30" t="s">
        <v>8</v>
      </c>
      <c r="B29" s="33">
        <v>28.729613020090966</v>
      </c>
      <c r="C29" s="33">
        <v>47.998831459589702</v>
      </c>
      <c r="D29" s="33">
        <v>20.125135511046846</v>
      </c>
      <c r="E29" s="33">
        <v>3.1464200092724885</v>
      </c>
      <c r="F29" s="33">
        <v>100</v>
      </c>
      <c r="G29" s="35">
        <v>4641.6880000000001</v>
      </c>
    </row>
    <row r="30" spans="1:7" ht="13.5" customHeight="1">
      <c r="A30" s="30" t="s">
        <v>82</v>
      </c>
      <c r="B30" s="33">
        <v>32.124596876513351</v>
      </c>
      <c r="C30" s="33">
        <v>43.12632030202542</v>
      </c>
      <c r="D30" s="33">
        <v>18.967110954799601</v>
      </c>
      <c r="E30" s="33">
        <v>5.7819718666616247</v>
      </c>
      <c r="F30" s="34">
        <v>100</v>
      </c>
      <c r="G30" s="35">
        <v>2.1950470000000002</v>
      </c>
    </row>
    <row r="31" spans="1:7" ht="15.75" customHeight="1">
      <c r="A31" s="30" t="s">
        <v>9</v>
      </c>
      <c r="B31" s="33">
        <v>27.790705711586757</v>
      </c>
      <c r="C31" s="33">
        <v>47.122168473627852</v>
      </c>
      <c r="D31" s="33">
        <v>24.533166911924543</v>
      </c>
      <c r="E31" s="33">
        <v>0.55395890286085214</v>
      </c>
      <c r="F31" s="34">
        <v>100</v>
      </c>
      <c r="G31" s="35">
        <v>0.99812800000000002</v>
      </c>
    </row>
    <row r="32" spans="1:7" ht="8.1" customHeight="1">
      <c r="A32" s="29"/>
      <c r="B32" s="29"/>
      <c r="C32" s="29"/>
      <c r="D32" s="29"/>
      <c r="E32" s="29"/>
      <c r="F32" s="29"/>
      <c r="G32" s="36"/>
    </row>
    <row r="33" spans="1:7">
      <c r="A33" s="37" t="s">
        <v>10</v>
      </c>
      <c r="B33" s="38">
        <f>+AVERAGE(B23:B31)</f>
        <v>32.557200614488082</v>
      </c>
      <c r="C33" s="38">
        <f>+AVERAGE(C23:C31)</f>
        <v>43.581726793396129</v>
      </c>
      <c r="D33" s="38">
        <f>+AVERAGE(D23:D31)</f>
        <v>20.315255886999282</v>
      </c>
      <c r="E33" s="38">
        <f>+AVERAGE(E23:E31)</f>
        <v>3.533656432263196</v>
      </c>
      <c r="F33" s="38">
        <f>+SUM(B33:E33)</f>
        <v>99.987839727146692</v>
      </c>
      <c r="G33" s="39">
        <f>+SUM(G23:G31)</f>
        <v>4708.1060470000002</v>
      </c>
    </row>
    <row r="34" spans="1:7">
      <c r="A34" s="30"/>
      <c r="B34" s="40"/>
      <c r="C34" s="40"/>
      <c r="D34" s="40"/>
      <c r="E34" s="40"/>
      <c r="F34" s="40"/>
      <c r="G34" s="41"/>
    </row>
    <row r="35" spans="1:7" ht="15.75" customHeight="1"/>
    <row r="36" spans="1:7" ht="15.75" customHeight="1">
      <c r="A36" s="12" t="s">
        <v>195</v>
      </c>
    </row>
    <row r="37" spans="1:7" ht="8.1" customHeight="1"/>
    <row r="38" spans="1:7">
      <c r="A38" s="692" t="s">
        <v>0</v>
      </c>
      <c r="B38" s="691" t="s">
        <v>11</v>
      </c>
      <c r="C38" s="691" t="s">
        <v>12</v>
      </c>
      <c r="D38" s="691" t="s">
        <v>13</v>
      </c>
      <c r="E38" s="691" t="s">
        <v>14</v>
      </c>
      <c r="F38" s="691" t="s">
        <v>10</v>
      </c>
      <c r="G38" s="27" t="s">
        <v>1</v>
      </c>
    </row>
    <row r="39" spans="1:7">
      <c r="A39" s="692"/>
      <c r="B39" s="691"/>
      <c r="C39" s="691"/>
      <c r="D39" s="691"/>
      <c r="E39" s="691"/>
      <c r="F39" s="691"/>
      <c r="G39" s="28" t="s">
        <v>185</v>
      </c>
    </row>
    <row r="40" spans="1:7" ht="8.1" customHeight="1">
      <c r="A40" s="29"/>
      <c r="B40" s="29"/>
      <c r="C40" s="29"/>
      <c r="D40" s="29"/>
      <c r="E40" s="29"/>
      <c r="F40" s="29"/>
      <c r="G40" s="29"/>
    </row>
    <row r="41" spans="1:7">
      <c r="A41" s="30" t="s">
        <v>3</v>
      </c>
      <c r="B41" s="31"/>
      <c r="C41" s="31"/>
      <c r="D41" s="31"/>
      <c r="E41" s="31"/>
      <c r="F41" s="31"/>
      <c r="G41" s="32"/>
    </row>
    <row r="42" spans="1:7">
      <c r="A42" s="30" t="s">
        <v>4</v>
      </c>
      <c r="B42" s="33">
        <v>29.4</v>
      </c>
      <c r="C42" s="33">
        <v>38</v>
      </c>
      <c r="D42" s="33">
        <v>28</v>
      </c>
      <c r="E42" s="33">
        <v>4</v>
      </c>
      <c r="F42" s="34">
        <v>100</v>
      </c>
      <c r="G42" s="35"/>
    </row>
    <row r="43" spans="1:7">
      <c r="A43" s="30" t="s">
        <v>5</v>
      </c>
      <c r="B43" s="33">
        <v>38.125544979633197</v>
      </c>
      <c r="C43" s="33">
        <v>45.920698577977902</v>
      </c>
      <c r="D43" s="42">
        <v>15.3569060038253</v>
      </c>
      <c r="E43" s="33">
        <v>0.59685043856355102</v>
      </c>
      <c r="F43" s="34">
        <v>100</v>
      </c>
      <c r="G43" s="35">
        <v>10.039365999999999</v>
      </c>
    </row>
    <row r="44" spans="1:7">
      <c r="A44" s="30" t="s">
        <v>50</v>
      </c>
      <c r="B44" s="33"/>
      <c r="C44" s="33"/>
      <c r="D44" s="33"/>
      <c r="E44" s="33"/>
      <c r="F44" s="34">
        <v>100</v>
      </c>
      <c r="G44" s="35"/>
    </row>
    <row r="45" spans="1:7">
      <c r="A45" s="30" t="s">
        <v>6</v>
      </c>
      <c r="B45" s="33">
        <v>38.795227949956626</v>
      </c>
      <c r="C45" s="33">
        <v>42.98175093731512</v>
      </c>
      <c r="D45" s="33">
        <v>15.994924161860622</v>
      </c>
      <c r="E45" s="33">
        <v>2.2280969508676325</v>
      </c>
      <c r="F45" s="34">
        <v>100</v>
      </c>
      <c r="G45" s="43">
        <v>2204168</v>
      </c>
    </row>
    <row r="46" spans="1:7">
      <c r="A46" s="30" t="s">
        <v>7</v>
      </c>
      <c r="B46" s="44">
        <v>26.261561163040305</v>
      </c>
      <c r="C46" s="44">
        <v>46.317332359622228</v>
      </c>
      <c r="D46" s="44">
        <v>19.974773398934477</v>
      </c>
      <c r="E46" s="44">
        <v>7.4463330784029935</v>
      </c>
      <c r="F46" s="45">
        <v>100</v>
      </c>
      <c r="G46" s="43">
        <v>42512267</v>
      </c>
    </row>
    <row r="47" spans="1:7">
      <c r="A47" s="30" t="s">
        <v>184</v>
      </c>
      <c r="B47" s="34"/>
      <c r="C47" s="34"/>
      <c r="D47" s="34"/>
      <c r="E47" s="34"/>
      <c r="F47" s="34">
        <v>100</v>
      </c>
      <c r="G47" s="35"/>
    </row>
    <row r="48" spans="1:7">
      <c r="A48" s="30" t="s">
        <v>8</v>
      </c>
      <c r="B48" s="33">
        <v>28.636093028465403</v>
      </c>
      <c r="C48" s="33">
        <v>47.411540454737107</v>
      </c>
      <c r="D48" s="33">
        <v>20.574689274065815</v>
      </c>
      <c r="E48" s="33">
        <v>3.3776772427316692</v>
      </c>
      <c r="F48" s="33">
        <v>99.999999999999986</v>
      </c>
      <c r="G48" s="35">
        <v>4928.2979999999998</v>
      </c>
    </row>
    <row r="49" spans="1:7">
      <c r="A49" s="30" t="s">
        <v>82</v>
      </c>
      <c r="B49" s="44">
        <v>30.918198431702095</v>
      </c>
      <c r="C49" s="44">
        <v>42.995897856457042</v>
      </c>
      <c r="D49" s="44">
        <v>19.729479579559815</v>
      </c>
      <c r="E49" s="44">
        <v>6.3564241322810524</v>
      </c>
      <c r="F49" s="45">
        <v>99.999999999999986</v>
      </c>
      <c r="G49" s="43">
        <v>2370468</v>
      </c>
    </row>
    <row r="50" spans="1:7">
      <c r="A50" s="30" t="s">
        <v>9</v>
      </c>
      <c r="B50" s="33"/>
      <c r="C50" s="33"/>
      <c r="D50" s="33"/>
      <c r="E50" s="33"/>
      <c r="F50" s="34">
        <v>100</v>
      </c>
      <c r="G50" s="35"/>
    </row>
    <row r="51" spans="1:7" ht="8.1" customHeight="1">
      <c r="A51" s="29"/>
      <c r="B51" s="29"/>
      <c r="C51" s="29"/>
      <c r="D51" s="29"/>
      <c r="E51" s="29"/>
      <c r="F51" s="29"/>
      <c r="G51" s="36"/>
    </row>
    <row r="52" spans="1:7">
      <c r="A52" s="46" t="s">
        <v>10</v>
      </c>
      <c r="B52" s="47">
        <f>+AVERAGE(B42:B50)</f>
        <v>32.022770925466268</v>
      </c>
      <c r="C52" s="47">
        <f>+AVERAGE(C42:C50)</f>
        <v>43.937870031018235</v>
      </c>
      <c r="D52" s="47">
        <f>+AVERAGE(D42:D50)</f>
        <v>19.938462069707672</v>
      </c>
      <c r="E52" s="47">
        <f>+AVERAGE(E42:E50)</f>
        <v>4.0008969738078166</v>
      </c>
      <c r="F52" s="47">
        <f>+SUM(B52:E52)</f>
        <v>99.899999999999977</v>
      </c>
      <c r="G52" s="48">
        <f>+SUM(G42:G50)</f>
        <v>47091841.337366</v>
      </c>
    </row>
    <row r="55" spans="1:7">
      <c r="A55" s="12" t="s">
        <v>196</v>
      </c>
    </row>
    <row r="56" spans="1:7" ht="8.1" customHeight="1"/>
    <row r="57" spans="1:7">
      <c r="A57" s="692" t="s">
        <v>0</v>
      </c>
      <c r="B57" s="691" t="s">
        <v>11</v>
      </c>
      <c r="C57" s="691" t="s">
        <v>12</v>
      </c>
      <c r="D57" s="691" t="s">
        <v>13</v>
      </c>
      <c r="E57" s="691" t="s">
        <v>14</v>
      </c>
      <c r="F57" s="691" t="s">
        <v>10</v>
      </c>
      <c r="G57" s="27" t="s">
        <v>1</v>
      </c>
    </row>
    <row r="58" spans="1:7">
      <c r="A58" s="692"/>
      <c r="B58" s="691"/>
      <c r="C58" s="691"/>
      <c r="D58" s="691"/>
      <c r="E58" s="691"/>
      <c r="F58" s="691"/>
      <c r="G58" s="28" t="s">
        <v>185</v>
      </c>
    </row>
    <row r="59" spans="1:7" ht="8.1" customHeight="1">
      <c r="A59" s="49"/>
      <c r="B59" s="50"/>
      <c r="C59" s="50"/>
      <c r="D59" s="50"/>
      <c r="E59" s="50"/>
      <c r="F59" s="50"/>
      <c r="G59" s="51"/>
    </row>
    <row r="60" spans="1:7">
      <c r="A60" s="30" t="s">
        <v>3</v>
      </c>
      <c r="B60" s="31"/>
      <c r="C60" s="31"/>
      <c r="D60" s="31"/>
      <c r="E60" s="31"/>
      <c r="F60" s="31"/>
      <c r="G60" s="32"/>
    </row>
    <row r="61" spans="1:7">
      <c r="A61" s="30" t="s">
        <v>4</v>
      </c>
      <c r="B61" s="33">
        <v>29.728104994868847</v>
      </c>
      <c r="C61" s="33">
        <v>37.297537391820711</v>
      </c>
      <c r="D61" s="33">
        <v>29.201719475681614</v>
      </c>
      <c r="E61" s="33">
        <v>3.770771675345177</v>
      </c>
      <c r="F61" s="34">
        <v>100</v>
      </c>
      <c r="G61" s="52">
        <v>9268.8719999999994</v>
      </c>
    </row>
    <row r="62" spans="1:7">
      <c r="A62" s="30" t="s">
        <v>5</v>
      </c>
      <c r="B62" s="33">
        <v>38.510212707263399</v>
      </c>
      <c r="C62" s="33">
        <v>45.160589857033699</v>
      </c>
      <c r="D62" s="33">
        <v>15.6813558520856</v>
      </c>
      <c r="E62" s="33">
        <v>0.64784158361727395</v>
      </c>
      <c r="F62" s="34">
        <v>100</v>
      </c>
      <c r="G62" s="35">
        <v>10.831505999999999</v>
      </c>
    </row>
    <row r="63" spans="1:7">
      <c r="A63" s="30" t="s">
        <v>50</v>
      </c>
      <c r="B63" s="33">
        <v>33.377706558056595</v>
      </c>
      <c r="C63" s="33">
        <v>36.156063923409128</v>
      </c>
      <c r="D63" s="33">
        <v>22.488971607627558</v>
      </c>
      <c r="E63" s="33">
        <v>7.977257910906725</v>
      </c>
      <c r="F63" s="33">
        <v>100</v>
      </c>
      <c r="G63" s="35">
        <v>0</v>
      </c>
    </row>
    <row r="64" spans="1:7">
      <c r="A64" s="30" t="s">
        <v>6</v>
      </c>
      <c r="B64" s="33">
        <v>39.041974697430106</v>
      </c>
      <c r="C64" s="33">
        <v>42.233682758655767</v>
      </c>
      <c r="D64" s="33">
        <v>16.326969189223327</v>
      </c>
      <c r="E64" s="33">
        <v>2.3973733546907994</v>
      </c>
      <c r="F64" s="34">
        <v>100</v>
      </c>
      <c r="G64" s="43">
        <v>2359207</v>
      </c>
    </row>
    <row r="65" spans="1:7">
      <c r="A65" s="30" t="s">
        <v>7</v>
      </c>
      <c r="B65" s="44">
        <v>23.784953681166318</v>
      </c>
      <c r="C65" s="44">
        <v>47.206721137594471</v>
      </c>
      <c r="D65" s="44">
        <v>20.897056952358287</v>
      </c>
      <c r="E65" s="44">
        <v>8.1112682288809239</v>
      </c>
      <c r="F65" s="45">
        <v>100</v>
      </c>
      <c r="G65" s="43">
        <v>48530475</v>
      </c>
    </row>
    <row r="66" spans="1:7">
      <c r="A66" s="30" t="s">
        <v>184</v>
      </c>
      <c r="B66" s="34"/>
      <c r="C66" s="34"/>
      <c r="D66" s="34"/>
      <c r="E66" s="34"/>
      <c r="F66" s="34">
        <v>100</v>
      </c>
      <c r="G66" s="35"/>
    </row>
    <row r="67" spans="1:7">
      <c r="A67" s="30" t="s">
        <v>8</v>
      </c>
      <c r="B67" s="33">
        <v>28.923933516018067</v>
      </c>
      <c r="C67" s="33">
        <v>46.550783274875357</v>
      </c>
      <c r="D67" s="33">
        <v>20.952890001759528</v>
      </c>
      <c r="E67" s="33">
        <v>3.572393207347047</v>
      </c>
      <c r="F67" s="33">
        <v>100</v>
      </c>
      <c r="G67" s="35">
        <v>5268.4570000000003</v>
      </c>
    </row>
    <row r="68" spans="1:7">
      <c r="A68" s="30" t="s">
        <v>82</v>
      </c>
      <c r="B68" s="44">
        <v>29.739626420516391</v>
      </c>
      <c r="C68" s="44">
        <v>42.898862795235857</v>
      </c>
      <c r="D68" s="44">
        <v>20.483460459077648</v>
      </c>
      <c r="E68" s="44">
        <v>6.8780503251701059</v>
      </c>
      <c r="F68" s="45">
        <v>100</v>
      </c>
      <c r="G68" s="43">
        <v>2526370</v>
      </c>
    </row>
    <row r="69" spans="1:7">
      <c r="A69" s="30" t="s">
        <v>9</v>
      </c>
      <c r="B69" s="33"/>
      <c r="C69" s="33"/>
      <c r="D69" s="33"/>
      <c r="E69" s="33"/>
      <c r="F69" s="34">
        <v>100</v>
      </c>
      <c r="G69" s="35"/>
    </row>
    <row r="70" spans="1:7" ht="8.1" customHeight="1">
      <c r="A70" s="29"/>
      <c r="B70" s="29"/>
      <c r="C70" s="29"/>
      <c r="D70" s="29"/>
      <c r="E70" s="29"/>
      <c r="F70" s="29"/>
      <c r="G70" s="36"/>
    </row>
    <row r="71" spans="1:7">
      <c r="A71" s="37" t="s">
        <v>10</v>
      </c>
      <c r="B71" s="38">
        <f>+AVERAGE(B61:B69)</f>
        <v>31.872358939331395</v>
      </c>
      <c r="C71" s="38">
        <f>+AVERAGE(C61:C69)</f>
        <v>42.50060587694643</v>
      </c>
      <c r="D71" s="38">
        <f>+AVERAGE(D61:D69)</f>
        <v>20.861774791116225</v>
      </c>
      <c r="E71" s="38">
        <f>+AVERAGE(E61:E69)</f>
        <v>4.7649937551368646</v>
      </c>
      <c r="F71" s="38">
        <f>+SUM(B71:E71)</f>
        <v>99.999733362530932</v>
      </c>
      <c r="G71" s="53">
        <f>+SUM(G61:G69)</f>
        <v>53430600.160506003</v>
      </c>
    </row>
    <row r="74" spans="1:7">
      <c r="A74" s="12" t="s">
        <v>197</v>
      </c>
    </row>
    <row r="75" spans="1:7" ht="8.1" customHeight="1"/>
    <row r="76" spans="1:7">
      <c r="A76" s="692" t="s">
        <v>0</v>
      </c>
      <c r="B76" s="691" t="s">
        <v>11</v>
      </c>
      <c r="C76" s="691" t="s">
        <v>12</v>
      </c>
      <c r="D76" s="691" t="s">
        <v>13</v>
      </c>
      <c r="E76" s="691" t="s">
        <v>14</v>
      </c>
      <c r="F76" s="691" t="s">
        <v>10</v>
      </c>
      <c r="G76" s="27" t="s">
        <v>1</v>
      </c>
    </row>
    <row r="77" spans="1:7">
      <c r="A77" s="692"/>
      <c r="B77" s="691"/>
      <c r="C77" s="691"/>
      <c r="D77" s="691"/>
      <c r="E77" s="691"/>
      <c r="F77" s="691"/>
      <c r="G77" s="28" t="s">
        <v>185</v>
      </c>
    </row>
    <row r="78" spans="1:7" ht="8.1" customHeight="1">
      <c r="A78" s="29"/>
      <c r="B78" s="29"/>
      <c r="C78" s="29"/>
      <c r="D78" s="29"/>
      <c r="E78" s="29"/>
      <c r="F78" s="29"/>
      <c r="G78" s="29"/>
    </row>
    <row r="79" spans="1:7">
      <c r="A79" s="30" t="s">
        <v>3</v>
      </c>
      <c r="B79" s="31"/>
      <c r="C79" s="31"/>
      <c r="D79" s="31"/>
      <c r="E79" s="31"/>
      <c r="F79" s="31"/>
      <c r="G79" s="32"/>
    </row>
    <row r="80" spans="1:7">
      <c r="A80" s="30" t="s">
        <v>4</v>
      </c>
      <c r="B80" s="33">
        <v>30.113874491761091</v>
      </c>
      <c r="C80" s="33">
        <v>36.839929835524188</v>
      </c>
      <c r="D80" s="33">
        <v>29.3612588618976</v>
      </c>
      <c r="E80" s="33">
        <v>3.6849263121823639</v>
      </c>
      <c r="F80" s="34">
        <v>100</v>
      </c>
      <c r="G80" s="52">
        <v>9525.0480000000007</v>
      </c>
    </row>
    <row r="81" spans="1:7">
      <c r="A81" s="30" t="s">
        <v>5</v>
      </c>
      <c r="B81" s="33">
        <v>38.970854443271001</v>
      </c>
      <c r="C81" s="33">
        <v>44.127664997407798</v>
      </c>
      <c r="D81" s="33">
        <v>16.128429631903799</v>
      </c>
      <c r="E81" s="33">
        <v>0.77305092741747905</v>
      </c>
      <c r="F81" s="34">
        <v>100</v>
      </c>
      <c r="G81" s="52">
        <v>11.738942</v>
      </c>
    </row>
    <row r="82" spans="1:7">
      <c r="A82" s="30" t="s">
        <v>50</v>
      </c>
      <c r="B82" s="33">
        <v>32.072933644914869</v>
      </c>
      <c r="C82" s="33">
        <v>36.544167397121861</v>
      </c>
      <c r="D82" s="33">
        <v>23.001171108607828</v>
      </c>
      <c r="E82" s="33">
        <v>8.3817278493554443</v>
      </c>
      <c r="F82" s="33">
        <v>99.999999999999986</v>
      </c>
      <c r="G82" s="52">
        <v>2240.6120000000001</v>
      </c>
    </row>
    <row r="83" spans="1:7">
      <c r="A83" s="30" t="s">
        <v>6</v>
      </c>
      <c r="B83" s="33">
        <v>38.977940446264199</v>
      </c>
      <c r="C83" s="33">
        <v>41.049052206134803</v>
      </c>
      <c r="D83" s="33">
        <v>16.928437166106502</v>
      </c>
      <c r="E83" s="33">
        <v>3.0445701814944801</v>
      </c>
      <c r="F83" s="34">
        <v>100</v>
      </c>
      <c r="G83" s="54">
        <v>2507349</v>
      </c>
    </row>
    <row r="84" spans="1:7">
      <c r="A84" s="30" t="s">
        <v>7</v>
      </c>
      <c r="B84" s="44">
        <v>21.606579402555727</v>
      </c>
      <c r="C84" s="44">
        <v>47.589177250181457</v>
      </c>
      <c r="D84" s="44">
        <v>21.975792919194284</v>
      </c>
      <c r="E84" s="44">
        <v>8.8284504280685301</v>
      </c>
      <c r="F84" s="45">
        <v>100</v>
      </c>
      <c r="G84" s="54">
        <v>50878419</v>
      </c>
    </row>
    <row r="85" spans="1:7">
      <c r="A85" s="30" t="s">
        <v>184</v>
      </c>
      <c r="B85" s="34"/>
      <c r="C85" s="34"/>
      <c r="D85" s="34"/>
      <c r="E85" s="34"/>
      <c r="F85" s="34">
        <v>100</v>
      </c>
      <c r="G85" s="35"/>
    </row>
    <row r="86" spans="1:7">
      <c r="A86" s="30" t="s">
        <v>8</v>
      </c>
      <c r="B86" s="33">
        <v>27.968101543844412</v>
      </c>
      <c r="C86" s="33">
        <v>46.591192260893834</v>
      </c>
      <c r="D86" s="33">
        <v>21.677487380900693</v>
      </c>
      <c r="E86" s="33">
        <v>3.7632188143610548</v>
      </c>
      <c r="F86" s="33">
        <v>99.999999999999986</v>
      </c>
      <c r="G86" s="35">
        <v>5481.77</v>
      </c>
    </row>
    <row r="87" spans="1:7">
      <c r="A87" s="30" t="s">
        <v>82</v>
      </c>
      <c r="B87" s="44">
        <v>28.771005515918198</v>
      </c>
      <c r="C87" s="44">
        <v>42.723276773070687</v>
      </c>
      <c r="D87" s="44">
        <v>21.163174690085295</v>
      </c>
      <c r="E87" s="44">
        <v>7.342543020925822</v>
      </c>
      <c r="F87" s="45">
        <v>100</v>
      </c>
      <c r="G87" s="43">
        <v>2688401</v>
      </c>
    </row>
    <row r="88" spans="1:7">
      <c r="A88" s="30" t="s">
        <v>9</v>
      </c>
      <c r="B88" s="33"/>
      <c r="C88" s="33"/>
      <c r="D88" s="33"/>
      <c r="E88" s="33"/>
      <c r="F88" s="34">
        <v>100</v>
      </c>
      <c r="G88" s="35"/>
    </row>
    <row r="89" spans="1:7" ht="8.1" customHeight="1">
      <c r="A89" s="29"/>
      <c r="B89" s="29"/>
      <c r="C89" s="29"/>
      <c r="D89" s="29"/>
      <c r="E89" s="29"/>
      <c r="F89" s="29"/>
      <c r="G89" s="36"/>
    </row>
    <row r="90" spans="1:7">
      <c r="A90" s="46" t="s">
        <v>10</v>
      </c>
      <c r="B90" s="47">
        <f>+AVERAGE(B80:B88)</f>
        <v>31.211612784075644</v>
      </c>
      <c r="C90" s="47">
        <f>+AVERAGE(C80:C88)</f>
        <v>42.209208674333517</v>
      </c>
      <c r="D90" s="47">
        <f>+AVERAGE(D80:D88)</f>
        <v>21.462250251242285</v>
      </c>
      <c r="E90" s="47">
        <f>+AVERAGE(E80:E88)</f>
        <v>5.1169267905435962</v>
      </c>
      <c r="F90" s="47">
        <f>+SUM(B90:E90)</f>
        <v>99.999998500195048</v>
      </c>
      <c r="G90" s="48">
        <f>+SUM(G80:G88)</f>
        <v>56091428.168942004</v>
      </c>
    </row>
    <row r="93" spans="1:7">
      <c r="A93" s="12" t="s">
        <v>198</v>
      </c>
    </row>
    <row r="94" spans="1:7" ht="8.1" customHeight="1"/>
    <row r="95" spans="1:7">
      <c r="A95" s="692" t="s">
        <v>0</v>
      </c>
      <c r="B95" s="691" t="s">
        <v>11</v>
      </c>
      <c r="C95" s="691" t="s">
        <v>12</v>
      </c>
      <c r="D95" s="691" t="s">
        <v>13</v>
      </c>
      <c r="E95" s="691" t="s">
        <v>14</v>
      </c>
      <c r="F95" s="691" t="s">
        <v>10</v>
      </c>
      <c r="G95" s="27" t="s">
        <v>1</v>
      </c>
    </row>
    <row r="96" spans="1:7">
      <c r="A96" s="692"/>
      <c r="B96" s="691"/>
      <c r="C96" s="691"/>
      <c r="D96" s="691"/>
      <c r="E96" s="691"/>
      <c r="F96" s="691"/>
      <c r="G96" s="28" t="s">
        <v>185</v>
      </c>
    </row>
    <row r="97" spans="1:7" ht="8.1" customHeight="1">
      <c r="A97" s="29"/>
      <c r="B97" s="29"/>
      <c r="C97" s="29"/>
      <c r="D97" s="29"/>
      <c r="E97" s="29"/>
      <c r="F97" s="29"/>
      <c r="G97" s="29"/>
    </row>
    <row r="98" spans="1:7">
      <c r="A98" s="30" t="s">
        <v>3</v>
      </c>
      <c r="B98" s="31"/>
      <c r="C98" s="31"/>
      <c r="D98" s="31"/>
      <c r="E98" s="31"/>
      <c r="F98" s="31"/>
      <c r="G98" s="32"/>
    </row>
    <row r="99" spans="1:7">
      <c r="A99" s="30" t="s">
        <v>4</v>
      </c>
      <c r="B99" s="33">
        <v>29.937135169082293</v>
      </c>
      <c r="C99" s="33">
        <v>36.51489303765149</v>
      </c>
      <c r="D99" s="33">
        <v>29.621677270338061</v>
      </c>
      <c r="E99" s="33">
        <v>3.9252890303737753</v>
      </c>
      <c r="F99" s="34">
        <v>100</v>
      </c>
      <c r="G99" s="52">
        <v>9746.4670000000006</v>
      </c>
    </row>
    <row r="100" spans="1:7">
      <c r="A100" s="30" t="s">
        <v>5</v>
      </c>
      <c r="B100" s="33">
        <v>38.8191280010426</v>
      </c>
      <c r="C100" s="33">
        <v>43.624265506141001</v>
      </c>
      <c r="D100" s="33">
        <v>16.6272006901136</v>
      </c>
      <c r="E100" s="33">
        <v>0.92940580270286999</v>
      </c>
      <c r="F100" s="34">
        <v>100</v>
      </c>
      <c r="G100" s="35">
        <v>12.538226</v>
      </c>
    </row>
    <row r="101" spans="1:7">
      <c r="A101" s="30" t="s">
        <v>50</v>
      </c>
      <c r="B101" s="33">
        <v>31.539270657055944</v>
      </c>
      <c r="C101" s="33">
        <v>37.143406802449391</v>
      </c>
      <c r="D101" s="33">
        <v>23.509844563153429</v>
      </c>
      <c r="E101" s="33">
        <v>7.8074779773412359</v>
      </c>
      <c r="F101" s="33">
        <v>99.999999999999986</v>
      </c>
      <c r="G101" s="35">
        <v>2323.5160000000001</v>
      </c>
    </row>
    <row r="102" spans="1:7">
      <c r="A102" s="30" t="s">
        <v>6</v>
      </c>
      <c r="B102" s="33">
        <v>39.39156196518605</v>
      </c>
      <c r="C102" s="33">
        <v>40.595146453395827</v>
      </c>
      <c r="D102" s="33">
        <v>17.170437282431724</v>
      </c>
      <c r="E102" s="33">
        <v>2.8428542989864032</v>
      </c>
      <c r="F102" s="34">
        <v>100</v>
      </c>
      <c r="G102" s="55">
        <v>2642274</v>
      </c>
    </row>
    <row r="103" spans="1:7">
      <c r="A103" s="30" t="s">
        <v>7</v>
      </c>
      <c r="B103" s="44">
        <v>22.20795560827689</v>
      </c>
      <c r="C103" s="44">
        <v>45.997941374577962</v>
      </c>
      <c r="D103" s="44">
        <v>22.478126962652453</v>
      </c>
      <c r="E103" s="44">
        <v>9.3159760544926957</v>
      </c>
      <c r="F103" s="45">
        <v>100</v>
      </c>
      <c r="G103" s="55">
        <v>52728388</v>
      </c>
    </row>
    <row r="104" spans="1:7">
      <c r="A104" s="30" t="s">
        <v>184</v>
      </c>
      <c r="B104" s="33">
        <v>7.83</v>
      </c>
      <c r="C104" s="33">
        <v>52.57</v>
      </c>
      <c r="D104" s="33">
        <v>31.98</v>
      </c>
      <c r="E104" s="33">
        <v>7.62</v>
      </c>
      <c r="F104" s="34">
        <v>100</v>
      </c>
      <c r="G104" s="52">
        <v>66882</v>
      </c>
    </row>
    <row r="105" spans="1:7">
      <c r="A105" s="30" t="s">
        <v>8</v>
      </c>
      <c r="B105" s="33">
        <v>27.795068494107312</v>
      </c>
      <c r="C105" s="33">
        <v>46.006531229349854</v>
      </c>
      <c r="D105" s="33">
        <v>22.281513268905606</v>
      </c>
      <c r="E105" s="33">
        <v>3.916887007637226</v>
      </c>
      <c r="F105" s="33">
        <v>100</v>
      </c>
      <c r="G105" s="35">
        <v>5727.8649999999998</v>
      </c>
    </row>
    <row r="106" spans="1:7">
      <c r="A106" s="30" t="s">
        <v>82</v>
      </c>
      <c r="B106" s="44">
        <v>28.122374030223256</v>
      </c>
      <c r="C106" s="44">
        <v>42.227478426916733</v>
      </c>
      <c r="D106" s="44">
        <v>21.727047104837787</v>
      </c>
      <c r="E106" s="44">
        <v>7.9231004380222281</v>
      </c>
      <c r="F106" s="45">
        <v>100</v>
      </c>
      <c r="G106" s="54">
        <v>2865608</v>
      </c>
    </row>
    <row r="107" spans="1:7">
      <c r="A107" s="30" t="s">
        <v>9</v>
      </c>
      <c r="B107" s="44">
        <v>28.707906388763604</v>
      </c>
      <c r="C107" s="44">
        <v>42.754991519340351</v>
      </c>
      <c r="D107" s="44">
        <v>27.074664743960309</v>
      </c>
      <c r="E107" s="44">
        <v>1.4624373479357375</v>
      </c>
      <c r="F107" s="34">
        <f>SUM(B107:E107)</f>
        <v>100</v>
      </c>
      <c r="G107" s="54">
        <v>1259336</v>
      </c>
    </row>
    <row r="108" spans="1:7" ht="8.1" customHeight="1">
      <c r="A108" s="29"/>
      <c r="B108" s="29"/>
      <c r="C108" s="29"/>
      <c r="D108" s="29"/>
      <c r="E108" s="29"/>
      <c r="F108" s="29"/>
      <c r="G108" s="36"/>
    </row>
    <row r="109" spans="1:7">
      <c r="A109" s="46" t="s">
        <v>10</v>
      </c>
      <c r="B109" s="47">
        <f>+AVERAGE(B99:B107)</f>
        <v>28.261155590415328</v>
      </c>
      <c r="C109" s="47">
        <f>+AVERAGE(C99:C107)</f>
        <v>43.048294927758064</v>
      </c>
      <c r="D109" s="47">
        <f>+AVERAGE(D99:D107)</f>
        <v>23.607834654043661</v>
      </c>
      <c r="E109" s="47">
        <f>+AVERAGE(E99:E107)</f>
        <v>5.0826031063880199</v>
      </c>
      <c r="F109" s="47">
        <f>+SUM(B109:E109)</f>
        <v>99.99988827860507</v>
      </c>
      <c r="G109" s="48">
        <f>+SUM(G99:G107)</f>
        <v>59580298.386226006</v>
      </c>
    </row>
    <row r="112" spans="1:7">
      <c r="A112" s="12" t="s">
        <v>353</v>
      </c>
    </row>
    <row r="114" spans="1:7">
      <c r="A114" s="692" t="s">
        <v>0</v>
      </c>
      <c r="B114" s="691" t="s">
        <v>11</v>
      </c>
      <c r="C114" s="691" t="s">
        <v>12</v>
      </c>
      <c r="D114" s="691" t="s">
        <v>13</v>
      </c>
      <c r="E114" s="691" t="s">
        <v>14</v>
      </c>
      <c r="F114" s="691" t="s">
        <v>10</v>
      </c>
      <c r="G114" s="27" t="s">
        <v>1</v>
      </c>
    </row>
    <row r="115" spans="1:7">
      <c r="A115" s="692"/>
      <c r="B115" s="691"/>
      <c r="C115" s="691"/>
      <c r="D115" s="691"/>
      <c r="E115" s="691"/>
      <c r="F115" s="691"/>
      <c r="G115" s="28" t="s">
        <v>185</v>
      </c>
    </row>
    <row r="116" spans="1:7">
      <c r="A116" s="29"/>
      <c r="B116" s="29"/>
      <c r="C116" s="29"/>
      <c r="D116" s="29"/>
      <c r="E116" s="29"/>
      <c r="F116" s="29"/>
      <c r="G116" s="29"/>
    </row>
    <row r="117" spans="1:7">
      <c r="A117" s="30" t="s">
        <v>3</v>
      </c>
      <c r="B117" s="31"/>
      <c r="C117" s="31"/>
      <c r="D117" s="31"/>
      <c r="E117" s="31"/>
      <c r="F117" s="31"/>
      <c r="G117" s="32"/>
    </row>
    <row r="118" spans="1:7">
      <c r="A118" s="30" t="s">
        <v>4</v>
      </c>
      <c r="B118" s="33">
        <v>29.696482194544277</v>
      </c>
      <c r="C118" s="33">
        <v>36.284198655613956</v>
      </c>
      <c r="D118" s="33">
        <v>29.950865924586132</v>
      </c>
      <c r="E118" s="33">
        <v>4.0655220051312417</v>
      </c>
      <c r="F118" s="33">
        <f>SUM(B118:E118)</f>
        <v>99.997068779875605</v>
      </c>
      <c r="G118" s="52">
        <v>9961.7219999999998</v>
      </c>
    </row>
    <row r="119" spans="1:7">
      <c r="A119" s="30" t="s">
        <v>5</v>
      </c>
      <c r="B119" s="33">
        <v>38.531200401678902</v>
      </c>
      <c r="C119" s="33">
        <v>43.260765432746901</v>
      </c>
      <c r="D119" s="33">
        <v>17.079011575570799</v>
      </c>
      <c r="E119" s="33">
        <v>1.1290225900034101</v>
      </c>
      <c r="F119" s="33">
        <f>+SUM(B119:E119)</f>
        <v>100.00000000000003</v>
      </c>
      <c r="G119" s="56">
        <v>13.29</v>
      </c>
    </row>
    <row r="120" spans="1:7">
      <c r="A120" s="30" t="s">
        <v>50</v>
      </c>
      <c r="B120" s="33">
        <v>30.439059032993196</v>
      </c>
      <c r="C120" s="33">
        <v>37.658768594200893</v>
      </c>
      <c r="D120" s="33">
        <v>23.908520615952959</v>
      </c>
      <c r="E120" s="33">
        <v>7.9936517568529517</v>
      </c>
      <c r="F120" s="33">
        <v>100</v>
      </c>
      <c r="G120" s="35">
        <v>2399.404</v>
      </c>
    </row>
    <row r="121" spans="1:7">
      <c r="A121" s="30" t="s">
        <v>6</v>
      </c>
      <c r="B121" s="33">
        <v>38.892951661454802</v>
      </c>
      <c r="C121" s="33">
        <v>40.302934987549264</v>
      </c>
      <c r="D121" s="33">
        <v>17.719279431917993</v>
      </c>
      <c r="E121" s="33">
        <v>3.0848339190779392</v>
      </c>
      <c r="F121" s="33">
        <v>100</v>
      </c>
      <c r="G121" s="57">
        <v>2788189</v>
      </c>
    </row>
    <row r="122" spans="1:7">
      <c r="A122" s="30" t="s">
        <v>7</v>
      </c>
      <c r="B122" s="44">
        <v>17.994554163535156</v>
      </c>
      <c r="C122" s="44">
        <v>46.058750640483723</v>
      </c>
      <c r="D122" s="44">
        <v>24.954588899140717</v>
      </c>
      <c r="E122" s="44">
        <v>10.992106296840403</v>
      </c>
      <c r="F122" s="45">
        <v>100</v>
      </c>
      <c r="G122" s="58">
        <v>54353450</v>
      </c>
    </row>
    <row r="123" spans="1:7">
      <c r="A123" s="30" t="s">
        <v>184</v>
      </c>
      <c r="B123" s="33">
        <v>8.7420176890837773</v>
      </c>
      <c r="C123" s="33">
        <v>52.129800587647466</v>
      </c>
      <c r="D123" s="33">
        <v>31.639392664847048</v>
      </c>
      <c r="E123" s="33">
        <v>7.4887890584217045</v>
      </c>
      <c r="F123" s="34">
        <v>100</v>
      </c>
      <c r="G123" s="59">
        <v>67047</v>
      </c>
    </row>
    <row r="124" spans="1:7">
      <c r="A124" s="30" t="s">
        <v>8</v>
      </c>
      <c r="B124" s="33">
        <v>27.430556312529674</v>
      </c>
      <c r="C124" s="33">
        <v>45.447386236852196</v>
      </c>
      <c r="D124" s="33">
        <v>22.922474987292617</v>
      </c>
      <c r="E124" s="33">
        <v>4.1995824633255125</v>
      </c>
      <c r="F124" s="33">
        <f>SUM(B124:E124)</f>
        <v>100</v>
      </c>
      <c r="G124" s="35">
        <v>5963.0690000000004</v>
      </c>
    </row>
    <row r="125" spans="1:7">
      <c r="A125" s="30" t="s">
        <v>82</v>
      </c>
      <c r="B125" s="33">
        <v>27.780333092341365</v>
      </c>
      <c r="C125" s="33">
        <v>41.597089776597173</v>
      </c>
      <c r="D125" s="33">
        <v>22.107262145831765</v>
      </c>
      <c r="E125" s="33">
        <v>8.5153149852297005</v>
      </c>
      <c r="F125" s="33">
        <v>100</v>
      </c>
      <c r="G125" s="52">
        <v>3056810</v>
      </c>
    </row>
    <row r="126" spans="1:7">
      <c r="A126" s="30" t="s">
        <v>9</v>
      </c>
      <c r="B126" s="44">
        <v>27.909481106767842</v>
      </c>
      <c r="C126" s="44">
        <v>42.297386372346132</v>
      </c>
      <c r="D126" s="44">
        <v>27.81497662297846</v>
      </c>
      <c r="E126" s="44">
        <v>1.9781558979075649</v>
      </c>
      <c r="F126" s="34"/>
      <c r="G126" s="58">
        <v>1304700</v>
      </c>
    </row>
    <row r="127" spans="1:7">
      <c r="A127" s="29"/>
      <c r="B127" s="29"/>
      <c r="C127" s="29"/>
      <c r="D127" s="29"/>
      <c r="E127" s="29"/>
      <c r="F127" s="29"/>
      <c r="G127" s="36"/>
    </row>
    <row r="128" spans="1:7">
      <c r="A128" s="46" t="s">
        <v>10</v>
      </c>
      <c r="B128" s="47">
        <f>+AVERAGE(B118:B126)</f>
        <v>27.490737294992112</v>
      </c>
      <c r="C128" s="47">
        <f>+AVERAGE(C118:C126)</f>
        <v>42.781897920448635</v>
      </c>
      <c r="D128" s="47">
        <f>+AVERAGE(D118:D126)</f>
        <v>24.232930318679831</v>
      </c>
      <c r="E128" s="47">
        <f>+AVERAGE(E118:E126)</f>
        <v>5.4941087747544914</v>
      </c>
      <c r="F128" s="47">
        <f>+SUM(B128:E128)</f>
        <v>99.999674308875072</v>
      </c>
      <c r="G128" s="48">
        <f>+SUM(G118:G126)</f>
        <v>61588533.484999999</v>
      </c>
    </row>
    <row r="131" spans="1:7">
      <c r="A131" s="12" t="s">
        <v>370</v>
      </c>
    </row>
    <row r="133" spans="1:7">
      <c r="A133" s="692" t="s">
        <v>0</v>
      </c>
      <c r="B133" s="691" t="s">
        <v>11</v>
      </c>
      <c r="C133" s="691" t="s">
        <v>12</v>
      </c>
      <c r="D133" s="691" t="s">
        <v>13</v>
      </c>
      <c r="E133" s="691" t="s">
        <v>14</v>
      </c>
      <c r="F133" s="691" t="s">
        <v>10</v>
      </c>
      <c r="G133" s="27" t="s">
        <v>1</v>
      </c>
    </row>
    <row r="134" spans="1:7">
      <c r="A134" s="692"/>
      <c r="B134" s="691"/>
      <c r="C134" s="691"/>
      <c r="D134" s="691"/>
      <c r="E134" s="691"/>
      <c r="F134" s="691"/>
      <c r="G134" s="28" t="s">
        <v>185</v>
      </c>
    </row>
    <row r="135" spans="1:7">
      <c r="A135" s="29"/>
      <c r="B135" s="29"/>
      <c r="C135" s="29"/>
      <c r="D135" s="29"/>
      <c r="E135" s="29"/>
      <c r="F135" s="29"/>
      <c r="G135" s="29"/>
    </row>
    <row r="136" spans="1:7">
      <c r="A136" s="30" t="s">
        <v>3</v>
      </c>
      <c r="B136" s="31"/>
      <c r="C136" s="31"/>
      <c r="D136" s="31"/>
      <c r="E136" s="31"/>
      <c r="F136" s="31"/>
      <c r="G136" s="32"/>
    </row>
    <row r="137" spans="1:7">
      <c r="A137" s="30" t="s">
        <v>4</v>
      </c>
      <c r="B137" s="33">
        <v>29.312152740150577</v>
      </c>
      <c r="C137" s="33">
        <v>36.235013293298373</v>
      </c>
      <c r="D137" s="33">
        <v>30.191688566721982</v>
      </c>
      <c r="E137" s="33">
        <v>4.2611453998290703</v>
      </c>
      <c r="F137" s="33">
        <v>100</v>
      </c>
      <c r="G137" s="52">
        <v>10178.437</v>
      </c>
    </row>
    <row r="138" spans="1:7">
      <c r="A138" s="30" t="s">
        <v>5</v>
      </c>
      <c r="B138" s="33">
        <v>38.338645381352002</v>
      </c>
      <c r="C138" s="33">
        <v>42.831455608368699</v>
      </c>
      <c r="D138" s="33">
        <v>17.4640146501016</v>
      </c>
      <c r="E138" s="33">
        <v>1.3658843601777499</v>
      </c>
      <c r="F138" s="33">
        <f>+SUM(B138:E138)</f>
        <v>100.00000000000006</v>
      </c>
      <c r="G138" s="56">
        <v>14.115</v>
      </c>
    </row>
    <row r="139" spans="1:7">
      <c r="A139" s="30" t="s">
        <v>50</v>
      </c>
      <c r="B139" s="60">
        <v>29.25</v>
      </c>
      <c r="C139" s="60">
        <v>38.11</v>
      </c>
      <c r="D139" s="60">
        <v>24.17</v>
      </c>
      <c r="E139" s="60">
        <v>8.4700000000000006</v>
      </c>
      <c r="F139" s="60">
        <f>SUM(B139:E139)</f>
        <v>100</v>
      </c>
      <c r="G139" s="61">
        <v>2486.826</v>
      </c>
    </row>
    <row r="140" spans="1:7">
      <c r="A140" s="30" t="s">
        <v>6</v>
      </c>
      <c r="B140" s="60">
        <v>38.762701315054073</v>
      </c>
      <c r="C140" s="60">
        <v>39.757194524005193</v>
      </c>
      <c r="D140" s="60">
        <v>18.213654206025478</v>
      </c>
      <c r="E140" s="60">
        <v>3.2664499549152604</v>
      </c>
      <c r="F140" s="60">
        <v>100.00000000000001</v>
      </c>
      <c r="G140" s="61">
        <f>2928.929</f>
        <v>2928.9290000000001</v>
      </c>
    </row>
    <row r="141" spans="1:7">
      <c r="A141" s="30" t="s">
        <v>7</v>
      </c>
      <c r="B141" s="60">
        <v>18.465157445792173</v>
      </c>
      <c r="C141" s="60">
        <v>45.222845499193696</v>
      </c>
      <c r="D141" s="60">
        <v>25.128409711993545</v>
      </c>
      <c r="E141" s="60">
        <v>11.183587343020582</v>
      </c>
      <c r="F141" s="60">
        <v>100</v>
      </c>
      <c r="G141" s="61">
        <v>57277.014999999999</v>
      </c>
    </row>
    <row r="142" spans="1:7">
      <c r="A142" s="30" t="s">
        <v>184</v>
      </c>
      <c r="B142" s="33">
        <v>11.3</v>
      </c>
      <c r="C142" s="33">
        <v>45.9</v>
      </c>
      <c r="D142" s="33">
        <v>34.700000000000003</v>
      </c>
      <c r="E142" s="33">
        <v>8.1</v>
      </c>
      <c r="F142" s="33">
        <f>SUM(B142:E142)</f>
        <v>100</v>
      </c>
      <c r="G142" s="62">
        <v>71146</v>
      </c>
    </row>
    <row r="143" spans="1:7">
      <c r="A143" s="30" t="s">
        <v>8</v>
      </c>
      <c r="B143" s="63">
        <v>27.394776235320524</v>
      </c>
      <c r="C143" s="63">
        <v>44.450402555641247</v>
      </c>
      <c r="D143" s="63">
        <v>23.533074088979699</v>
      </c>
      <c r="E143" s="63">
        <v>4.6217471200585303</v>
      </c>
      <c r="F143" s="33">
        <f>SUM(B143:E143)</f>
        <v>100</v>
      </c>
      <c r="G143" s="52">
        <v>6264103</v>
      </c>
    </row>
    <row r="144" spans="1:7">
      <c r="A144" s="30" t="s">
        <v>82</v>
      </c>
      <c r="B144" s="33">
        <v>27.500736684428944</v>
      </c>
      <c r="C144" s="33">
        <v>40.979022910885746</v>
      </c>
      <c r="D144" s="33">
        <v>22.517619035925641</v>
      </c>
      <c r="E144" s="33">
        <v>9.0026213687596695</v>
      </c>
      <c r="F144" s="33">
        <f>+SUM(B144:E144)</f>
        <v>100</v>
      </c>
      <c r="G144" s="35">
        <v>3257.84</v>
      </c>
    </row>
    <row r="145" spans="1:7">
      <c r="A145" s="30" t="s">
        <v>9</v>
      </c>
      <c r="B145" s="44">
        <v>26.918439465423443</v>
      </c>
      <c r="C145" s="44">
        <v>42.119240808939892</v>
      </c>
      <c r="D145" s="44">
        <v>29.029637049477003</v>
      </c>
      <c r="E145" s="44">
        <v>1.9326826761596578</v>
      </c>
      <c r="F145" s="64">
        <f>SUM(B145:E145)</f>
        <v>100</v>
      </c>
      <c r="G145" s="54">
        <v>1342745</v>
      </c>
    </row>
    <row r="146" spans="1:7">
      <c r="A146" s="29"/>
      <c r="B146" s="29"/>
      <c r="C146" s="29"/>
      <c r="D146" s="29"/>
      <c r="E146" s="29"/>
      <c r="F146" s="29"/>
      <c r="G146" s="36"/>
    </row>
    <row r="147" spans="1:7">
      <c r="A147" s="46" t="s">
        <v>10</v>
      </c>
      <c r="B147" s="47">
        <f>+AVERAGE(B137:B145)</f>
        <v>27.471401029724639</v>
      </c>
      <c r="C147" s="47">
        <f>+AVERAGE(C137:C145)</f>
        <v>41.73390835559254</v>
      </c>
      <c r="D147" s="47">
        <f>+AVERAGE(D137:D145)</f>
        <v>24.994233034358327</v>
      </c>
      <c r="E147" s="47">
        <f>+AVERAGE(E137:E145)</f>
        <v>5.800457580324502</v>
      </c>
      <c r="F147" s="47">
        <f>+SUM(B147:E147)</f>
        <v>100.00000000000001</v>
      </c>
      <c r="G147" s="48">
        <f>+SUM(G137:G145)</f>
        <v>7754137.1619999995</v>
      </c>
    </row>
    <row r="150" spans="1:7">
      <c r="A150" s="12" t="s">
        <v>382</v>
      </c>
    </row>
    <row r="152" spans="1:7">
      <c r="A152" s="692" t="s">
        <v>0</v>
      </c>
      <c r="B152" s="691" t="s">
        <v>11</v>
      </c>
      <c r="C152" s="691" t="s">
        <v>12</v>
      </c>
      <c r="D152" s="691" t="s">
        <v>13</v>
      </c>
      <c r="E152" s="691" t="s">
        <v>14</v>
      </c>
      <c r="F152" s="691" t="s">
        <v>10</v>
      </c>
      <c r="G152" s="27" t="s">
        <v>1</v>
      </c>
    </row>
    <row r="153" spans="1:7">
      <c r="A153" s="692"/>
      <c r="B153" s="691"/>
      <c r="C153" s="691"/>
      <c r="D153" s="691"/>
      <c r="E153" s="691"/>
      <c r="F153" s="691"/>
      <c r="G153" s="28" t="s">
        <v>185</v>
      </c>
    </row>
    <row r="154" spans="1:7">
      <c r="A154" s="29"/>
      <c r="B154" s="29"/>
      <c r="C154" s="29"/>
      <c r="D154" s="29"/>
      <c r="E154" s="29"/>
      <c r="F154" s="29"/>
      <c r="G154" s="29"/>
    </row>
    <row r="155" spans="1:7">
      <c r="A155" s="30" t="s">
        <v>3</v>
      </c>
      <c r="B155" s="31"/>
      <c r="C155" s="31"/>
      <c r="D155" s="31"/>
      <c r="E155" s="31"/>
      <c r="F155" s="31"/>
      <c r="G155" s="32"/>
    </row>
    <row r="156" spans="1:7">
      <c r="A156" s="30" t="s">
        <v>4</v>
      </c>
      <c r="B156" s="33">
        <v>29.031987215350473</v>
      </c>
      <c r="C156" s="33">
        <v>36.383678274329185</v>
      </c>
      <c r="D156" s="33">
        <v>30.212657995385282</v>
      </c>
      <c r="E156" s="33">
        <v>4.3716765149350572</v>
      </c>
      <c r="F156" s="33">
        <v>100</v>
      </c>
      <c r="G156" s="65">
        <v>10433.137000000001</v>
      </c>
    </row>
    <row r="157" spans="1:7">
      <c r="A157" s="30" t="s">
        <v>5</v>
      </c>
      <c r="B157" s="33">
        <v>37.676058520693402</v>
      </c>
      <c r="C157" s="33">
        <v>42.662375411477001</v>
      </c>
      <c r="D157" s="33">
        <v>17.977771483182199</v>
      </c>
      <c r="E157" s="33">
        <v>1.68379458464743</v>
      </c>
      <c r="F157" s="33">
        <f>+SUM(B157:E157)</f>
        <v>100.00000000000003</v>
      </c>
      <c r="G157" s="66">
        <v>14.841656</v>
      </c>
    </row>
    <row r="158" spans="1:7">
      <c r="A158" s="30" t="s">
        <v>50</v>
      </c>
      <c r="B158" s="67">
        <v>28.19</v>
      </c>
      <c r="C158" s="60">
        <v>38.33</v>
      </c>
      <c r="D158" s="60">
        <v>24.47</v>
      </c>
      <c r="E158" s="60">
        <v>9.01</v>
      </c>
      <c r="F158" s="60">
        <v>100</v>
      </c>
      <c r="G158" s="65">
        <v>2577.828</v>
      </c>
    </row>
    <row r="159" spans="1:7">
      <c r="A159" s="30" t="s">
        <v>6</v>
      </c>
      <c r="B159" s="67">
        <v>37.537488601053489</v>
      </c>
      <c r="C159" s="60">
        <v>39.83728920504285</v>
      </c>
      <c r="D159" s="60">
        <v>18.982871758837074</v>
      </c>
      <c r="E159" s="60">
        <v>3.6423504350665818</v>
      </c>
      <c r="F159" s="60">
        <f>SUM(B159:E159)</f>
        <v>100</v>
      </c>
      <c r="G159" s="65">
        <v>3068266</v>
      </c>
    </row>
    <row r="160" spans="1:7">
      <c r="A160" s="30" t="s">
        <v>7</v>
      </c>
      <c r="B160" s="44">
        <v>17.923583771799763</v>
      </c>
      <c r="C160" s="44">
        <v>43.807031738791622</v>
      </c>
      <c r="D160" s="44">
        <v>26.231091262731493</v>
      </c>
      <c r="E160" s="44">
        <v>12.038293226677125</v>
      </c>
      <c r="F160" s="45">
        <v>100</v>
      </c>
      <c r="G160" s="65">
        <v>60002.883000000002</v>
      </c>
    </row>
    <row r="161" spans="1:8">
      <c r="A161" s="30" t="s">
        <v>184</v>
      </c>
      <c r="B161" s="33">
        <v>11.3</v>
      </c>
      <c r="C161" s="33">
        <v>45.9</v>
      </c>
      <c r="D161" s="33">
        <v>34.700000000000003</v>
      </c>
      <c r="E161" s="33">
        <v>8.1</v>
      </c>
      <c r="F161" s="33">
        <v>100</v>
      </c>
      <c r="G161" s="68">
        <v>71146</v>
      </c>
    </row>
    <row r="162" spans="1:8">
      <c r="A162" s="30" t="s">
        <v>8</v>
      </c>
      <c r="B162" s="33">
        <v>27.537347227586555</v>
      </c>
      <c r="C162" s="33">
        <v>43.317136627513065</v>
      </c>
      <c r="D162" s="33">
        <v>24.030676892903251</v>
      </c>
      <c r="E162" s="33">
        <v>5.1148392519971342</v>
      </c>
      <c r="F162" s="33">
        <f>SUM(B162:E162)</f>
        <v>100.00000000000001</v>
      </c>
      <c r="G162" s="68">
        <v>6604.8410000000003</v>
      </c>
    </row>
    <row r="163" spans="1:8">
      <c r="A163" s="30" t="s">
        <v>82</v>
      </c>
      <c r="B163" s="33">
        <v>27.105915464458008</v>
      </c>
      <c r="C163" s="33">
        <v>40.406369138226786</v>
      </c>
      <c r="D163" s="33">
        <v>23.006525728108461</v>
      </c>
      <c r="E163" s="33">
        <v>9.4811896692067492</v>
      </c>
      <c r="F163" s="33">
        <f>SUM(B163:E163)</f>
        <v>100</v>
      </c>
      <c r="G163" s="68">
        <v>3479.152</v>
      </c>
    </row>
    <row r="164" spans="1:8">
      <c r="A164" s="30" t="s">
        <v>9</v>
      </c>
      <c r="B164" s="44">
        <v>30</v>
      </c>
      <c r="C164" s="44">
        <v>40.6</v>
      </c>
      <c r="D164" s="44">
        <v>27.7</v>
      </c>
      <c r="E164" s="44">
        <v>1.6</v>
      </c>
      <c r="F164" s="69">
        <f>SUM(B164:E164)</f>
        <v>99.899999999999991</v>
      </c>
      <c r="G164" s="70">
        <v>1382135</v>
      </c>
    </row>
    <row r="165" spans="1:8">
      <c r="A165" s="29"/>
      <c r="B165" s="71"/>
      <c r="C165" s="71"/>
      <c r="D165" s="71"/>
      <c r="E165" s="71"/>
      <c r="F165" s="71"/>
      <c r="G165" s="72"/>
    </row>
    <row r="166" spans="1:8">
      <c r="A166" s="46" t="s">
        <v>10</v>
      </c>
      <c r="B166" s="47"/>
      <c r="C166" s="47"/>
      <c r="D166" s="47"/>
      <c r="E166" s="47"/>
      <c r="F166" s="47"/>
      <c r="G166" s="48"/>
    </row>
    <row r="167" spans="1:8">
      <c r="A167" s="29" t="s">
        <v>395</v>
      </c>
    </row>
    <row r="170" spans="1:8">
      <c r="A170" s="12" t="s">
        <v>400</v>
      </c>
    </row>
    <row r="172" spans="1:8">
      <c r="A172" s="692" t="s">
        <v>0</v>
      </c>
      <c r="B172" s="691" t="s">
        <v>11</v>
      </c>
      <c r="C172" s="691" t="s">
        <v>12</v>
      </c>
      <c r="D172" s="691" t="s">
        <v>13</v>
      </c>
      <c r="E172" s="691" t="s">
        <v>14</v>
      </c>
      <c r="F172" s="691" t="s">
        <v>10</v>
      </c>
      <c r="G172" s="27" t="s">
        <v>1</v>
      </c>
    </row>
    <row r="173" spans="1:8">
      <c r="A173" s="692"/>
      <c r="B173" s="691"/>
      <c r="C173" s="691"/>
      <c r="D173" s="691"/>
      <c r="E173" s="691"/>
      <c r="F173" s="691"/>
      <c r="G173" s="28" t="s">
        <v>185</v>
      </c>
    </row>
    <row r="174" spans="1:8">
      <c r="A174" s="30" t="s">
        <v>4</v>
      </c>
      <c r="B174" s="33">
        <v>28.708251833643764</v>
      </c>
      <c r="C174" s="33">
        <v>36.67367862142833</v>
      </c>
      <c r="D174" s="33">
        <v>30.199613247989198</v>
      </c>
      <c r="E174" s="33">
        <v>4.4184562969387065</v>
      </c>
      <c r="F174" s="33">
        <v>100</v>
      </c>
      <c r="G174" s="73">
        <v>10705.050999999999</v>
      </c>
    </row>
    <row r="175" spans="1:8">
      <c r="A175" s="30" t="s">
        <v>5</v>
      </c>
      <c r="B175" s="33"/>
      <c r="C175" s="33"/>
      <c r="D175" s="33"/>
      <c r="E175" s="33"/>
      <c r="F175" s="33"/>
      <c r="G175" s="66"/>
    </row>
    <row r="176" spans="1:8">
      <c r="A176" s="30" t="s">
        <v>50</v>
      </c>
      <c r="B176" s="60">
        <v>27.21</v>
      </c>
      <c r="C176" s="60">
        <v>38.520000000000003</v>
      </c>
      <c r="D176" s="60">
        <v>24.77</v>
      </c>
      <c r="E176" s="60">
        <v>9.5</v>
      </c>
      <c r="F176" s="60">
        <f>SUM(B176:E176)</f>
        <v>100</v>
      </c>
      <c r="G176" s="73">
        <v>2664.5250000000001</v>
      </c>
      <c r="H176" s="61"/>
    </row>
    <row r="177" spans="1:7">
      <c r="A177" s="30" t="s">
        <v>6</v>
      </c>
      <c r="B177" s="60">
        <v>36.502801884700389</v>
      </c>
      <c r="C177" s="60">
        <v>39.804889656323738</v>
      </c>
      <c r="D177" s="60">
        <v>19.726781981227745</v>
      </c>
      <c r="E177" s="60">
        <v>3.9655264777481269</v>
      </c>
      <c r="F177" s="60">
        <v>100</v>
      </c>
      <c r="G177" s="73">
        <v>3210.6959999999999</v>
      </c>
    </row>
    <row r="178" spans="1:7">
      <c r="A178" s="30" t="s">
        <v>7</v>
      </c>
      <c r="B178" s="60">
        <v>18.208703030483846</v>
      </c>
      <c r="C178" s="60">
        <v>42.262810635738482</v>
      </c>
      <c r="D178" s="60">
        <v>26.887240813881576</v>
      </c>
      <c r="E178" s="60">
        <v>12.641245519896094</v>
      </c>
      <c r="F178" s="60">
        <v>100</v>
      </c>
      <c r="G178" s="73">
        <v>62879.959000000003</v>
      </c>
    </row>
    <row r="179" spans="1:7">
      <c r="A179" s="30" t="s">
        <v>184</v>
      </c>
      <c r="B179" s="60">
        <v>13</v>
      </c>
      <c r="C179" s="60">
        <v>44.4</v>
      </c>
      <c r="D179" s="60">
        <v>35</v>
      </c>
      <c r="E179" s="60">
        <v>7.6</v>
      </c>
      <c r="F179" s="60">
        <v>100</v>
      </c>
      <c r="G179" s="73">
        <v>61836</v>
      </c>
    </row>
    <row r="180" spans="1:7">
      <c r="A180" s="30" t="s">
        <v>8</v>
      </c>
      <c r="B180" s="60">
        <v>27.68149</v>
      </c>
      <c r="C180" s="60">
        <v>42.310130000000001</v>
      </c>
      <c r="D180" s="60">
        <v>24.422910000000002</v>
      </c>
      <c r="E180" s="60">
        <v>5.5863300000000002</v>
      </c>
      <c r="F180" s="60">
        <v>100.00086</v>
      </c>
      <c r="G180" s="73">
        <v>7018.6689999999999</v>
      </c>
    </row>
    <row r="181" spans="1:7">
      <c r="A181" s="30" t="s">
        <v>82</v>
      </c>
      <c r="B181" s="60">
        <v>26.669729840520915</v>
      </c>
      <c r="C181" s="60">
        <v>39.877785319888218</v>
      </c>
      <c r="D181" s="60">
        <v>23.423965914835282</v>
      </c>
      <c r="E181" s="60">
        <v>10.028518924755581</v>
      </c>
      <c r="F181" s="60">
        <f>+SUM(B181:E181)</f>
        <v>100</v>
      </c>
      <c r="G181" s="73">
        <v>3.6933370000000001</v>
      </c>
    </row>
    <row r="182" spans="1:7">
      <c r="A182" s="30" t="s">
        <v>9</v>
      </c>
      <c r="B182" s="60">
        <v>25.662335166814788</v>
      </c>
      <c r="C182" s="60">
        <v>41.857279505369746</v>
      </c>
      <c r="D182" s="60">
        <v>29.198274558784675</v>
      </c>
      <c r="E182" s="60">
        <v>3.2821107690307891</v>
      </c>
      <c r="F182" s="60">
        <v>100</v>
      </c>
      <c r="G182" s="73">
        <v>1416</v>
      </c>
    </row>
    <row r="183" spans="1:7">
      <c r="A183" s="46" t="s">
        <v>10</v>
      </c>
      <c r="B183" s="47"/>
      <c r="C183" s="47"/>
      <c r="D183" s="47"/>
      <c r="E183" s="47"/>
      <c r="F183" s="47"/>
      <c r="G183" s="48"/>
    </row>
    <row r="184" spans="1:7">
      <c r="A184" s="29" t="s">
        <v>395</v>
      </c>
    </row>
    <row r="187" spans="1:7">
      <c r="A187" s="12" t="s">
        <v>439</v>
      </c>
    </row>
    <row r="189" spans="1:7">
      <c r="A189" s="692" t="s">
        <v>0</v>
      </c>
      <c r="B189" s="691" t="s">
        <v>11</v>
      </c>
      <c r="C189" s="691" t="s">
        <v>12</v>
      </c>
      <c r="D189" s="691" t="s">
        <v>13</v>
      </c>
      <c r="E189" s="691" t="s">
        <v>14</v>
      </c>
      <c r="F189" s="691" t="s">
        <v>10</v>
      </c>
      <c r="G189" s="27" t="s">
        <v>1</v>
      </c>
    </row>
    <row r="190" spans="1:7">
      <c r="A190" s="692"/>
      <c r="B190" s="691"/>
      <c r="C190" s="691"/>
      <c r="D190" s="691"/>
      <c r="E190" s="691"/>
      <c r="F190" s="691"/>
      <c r="G190" s="28" t="s">
        <v>185</v>
      </c>
    </row>
    <row r="191" spans="1:7">
      <c r="A191" s="30" t="s">
        <v>4</v>
      </c>
      <c r="B191" s="33">
        <v>28.346007370194044</v>
      </c>
      <c r="C191" s="33">
        <v>36.978211310248092</v>
      </c>
      <c r="D191" s="33">
        <v>30.125063179940579</v>
      </c>
      <c r="E191" s="33">
        <v>4.5507181396172811</v>
      </c>
      <c r="F191" s="33">
        <v>100</v>
      </c>
      <c r="G191" s="73">
        <v>10950.865</v>
      </c>
    </row>
    <row r="192" spans="1:7">
      <c r="A192" s="30" t="s">
        <v>5</v>
      </c>
      <c r="B192" s="33"/>
      <c r="C192" s="33"/>
      <c r="D192" s="33"/>
      <c r="E192" s="33"/>
      <c r="F192" s="33"/>
      <c r="G192" s="66"/>
    </row>
    <row r="193" spans="1:7">
      <c r="A193" s="30" t="s">
        <v>50</v>
      </c>
      <c r="B193" s="33">
        <v>26.22</v>
      </c>
      <c r="C193" s="33">
        <v>38.74</v>
      </c>
      <c r="D193" s="33">
        <v>23.79</v>
      </c>
      <c r="E193" s="33">
        <v>11.24</v>
      </c>
      <c r="F193" s="33">
        <f>SUM(B193:E193)</f>
        <v>99.99</v>
      </c>
      <c r="G193" s="73">
        <v>2741.1770000000001</v>
      </c>
    </row>
    <row r="194" spans="1:7">
      <c r="A194" s="30" t="s">
        <v>6</v>
      </c>
      <c r="B194" s="383">
        <v>35.484756329897692</v>
      </c>
      <c r="C194" s="383">
        <v>39.780715959534376</v>
      </c>
      <c r="D194" s="383">
        <v>20.420409514374441</v>
      </c>
      <c r="E194" s="383">
        <v>4.3141181961934878</v>
      </c>
      <c r="F194" s="383">
        <v>100</v>
      </c>
      <c r="G194" s="73">
        <v>3359.2959999999998</v>
      </c>
    </row>
    <row r="195" spans="1:7">
      <c r="A195" s="30" t="s">
        <v>7</v>
      </c>
      <c r="B195" s="44">
        <v>17.904288090560577</v>
      </c>
      <c r="C195" s="44">
        <v>41.360774493147105</v>
      </c>
      <c r="D195" s="44">
        <v>27.455554292855304</v>
      </c>
      <c r="E195" s="44">
        <v>13.279383123437011</v>
      </c>
      <c r="F195" s="45">
        <v>100</v>
      </c>
      <c r="G195" s="69">
        <v>65837.741999999998</v>
      </c>
    </row>
    <row r="196" spans="1:7">
      <c r="A196" s="30" t="s">
        <v>184</v>
      </c>
      <c r="B196" s="384">
        <v>12.39</v>
      </c>
      <c r="C196" s="384">
        <v>43.46</v>
      </c>
      <c r="D196" s="384">
        <v>36.42</v>
      </c>
      <c r="E196" s="384">
        <v>7.73</v>
      </c>
      <c r="F196" s="384">
        <f>SUM(B196:E196)</f>
        <v>100.00000000000001</v>
      </c>
      <c r="G196" s="69">
        <v>67.052000000000007</v>
      </c>
    </row>
    <row r="197" spans="1:7">
      <c r="A197" s="30" t="s">
        <v>8</v>
      </c>
      <c r="B197" s="60">
        <v>27.653490617915772</v>
      </c>
      <c r="C197" s="60">
        <v>41.581303586999788</v>
      </c>
      <c r="D197" s="60">
        <v>24.674728022160018</v>
      </c>
      <c r="E197" s="60">
        <v>6.090477772924423</v>
      </c>
      <c r="F197" s="60">
        <v>100</v>
      </c>
      <c r="G197" s="73">
        <v>7426.7079999999996</v>
      </c>
    </row>
    <row r="198" spans="1:7">
      <c r="A198" s="30" t="s">
        <v>82</v>
      </c>
      <c r="B198" s="60">
        <v>26.308201148192147</v>
      </c>
      <c r="C198" s="60">
        <v>40.089280574410076</v>
      </c>
      <c r="D198" s="60">
        <v>23.709173500520716</v>
      </c>
      <c r="E198" s="60">
        <v>9.893344776877063</v>
      </c>
      <c r="F198" s="60">
        <v>100</v>
      </c>
      <c r="G198" s="73">
        <v>3821.66</v>
      </c>
    </row>
    <row r="199" spans="1:7">
      <c r="A199" s="30" t="s">
        <v>9</v>
      </c>
      <c r="B199" s="60">
        <v>26.81</v>
      </c>
      <c r="C199" s="60">
        <v>41.41</v>
      </c>
      <c r="D199" s="60">
        <v>29.1</v>
      </c>
      <c r="E199" s="60">
        <v>2.69</v>
      </c>
      <c r="F199" s="60">
        <v>100.00999999999999</v>
      </c>
      <c r="G199" s="73">
        <v>1445.5730000000001</v>
      </c>
    </row>
    <row r="200" spans="1:7">
      <c r="A200" s="46" t="s">
        <v>10</v>
      </c>
      <c r="B200" s="47"/>
      <c r="C200" s="47"/>
      <c r="D200" s="47"/>
      <c r="E200" s="47"/>
      <c r="F200" s="47"/>
      <c r="G200" s="369"/>
    </row>
    <row r="201" spans="1:7">
      <c r="A201" s="29" t="s">
        <v>395</v>
      </c>
    </row>
    <row r="204" spans="1:7">
      <c r="A204" s="12" t="s">
        <v>464</v>
      </c>
    </row>
    <row r="206" spans="1:7">
      <c r="A206" s="692" t="s">
        <v>0</v>
      </c>
      <c r="B206" s="691" t="s">
        <v>11</v>
      </c>
      <c r="C206" s="691" t="s">
        <v>12</v>
      </c>
      <c r="D206" s="691" t="s">
        <v>13</v>
      </c>
      <c r="E206" s="691" t="s">
        <v>14</v>
      </c>
      <c r="F206" s="691" t="s">
        <v>10</v>
      </c>
      <c r="G206" s="27" t="s">
        <v>1</v>
      </c>
    </row>
    <row r="207" spans="1:7">
      <c r="A207" s="692"/>
      <c r="B207" s="691"/>
      <c r="C207" s="691"/>
      <c r="D207" s="691"/>
      <c r="E207" s="691"/>
      <c r="F207" s="691"/>
      <c r="G207" s="28" t="s">
        <v>185</v>
      </c>
    </row>
    <row r="208" spans="1:7">
      <c r="A208" s="30" t="s">
        <v>4</v>
      </c>
      <c r="B208" s="33">
        <v>26.29437231390509</v>
      </c>
      <c r="C208" s="33">
        <v>37.791131515718945</v>
      </c>
      <c r="D208" s="33">
        <v>30.775170048843215</v>
      </c>
      <c r="E208" s="33">
        <v>5.1393261215327524</v>
      </c>
      <c r="F208" s="33">
        <v>100</v>
      </c>
      <c r="G208" s="73">
        <v>11081.375</v>
      </c>
    </row>
    <row r="209" spans="1:7">
      <c r="A209" s="30" t="s">
        <v>5</v>
      </c>
      <c r="B209" s="33"/>
      <c r="C209" s="33"/>
      <c r="D209" s="33"/>
      <c r="E209" s="33"/>
      <c r="F209" s="33"/>
      <c r="G209" s="66"/>
    </row>
    <row r="210" spans="1:7">
      <c r="A210" s="30" t="s">
        <v>50</v>
      </c>
      <c r="B210" s="33">
        <v>24.7</v>
      </c>
      <c r="C210" s="33">
        <v>39.200000000000003</v>
      </c>
      <c r="D210" s="33">
        <v>24.2</v>
      </c>
      <c r="E210" s="33">
        <v>11.9</v>
      </c>
      <c r="F210" s="33">
        <v>100.00000000000001</v>
      </c>
      <c r="G210" s="73">
        <v>2797.8009999999999</v>
      </c>
    </row>
    <row r="211" spans="1:7">
      <c r="A211" s="30" t="s">
        <v>6</v>
      </c>
      <c r="B211" s="33">
        <v>33.734729504010005</v>
      </c>
      <c r="C211" s="33">
        <v>40.066952185541268</v>
      </c>
      <c r="D211" s="33">
        <v>21.384057286210158</v>
      </c>
      <c r="E211" s="33">
        <v>4.8142610242385695</v>
      </c>
      <c r="F211" s="33">
        <v>100</v>
      </c>
      <c r="G211" s="73">
        <v>3449.6260000000002</v>
      </c>
    </row>
    <row r="212" spans="1:7">
      <c r="A212" s="30" t="s">
        <v>7</v>
      </c>
      <c r="B212" s="44">
        <v>17.189119462351961</v>
      </c>
      <c r="C212" s="44">
        <v>39.960327848614668</v>
      </c>
      <c r="D212" s="44">
        <v>28.464313721693141</v>
      </c>
      <c r="E212" s="44">
        <v>14.386238967340228</v>
      </c>
      <c r="F212" s="45">
        <v>100</v>
      </c>
      <c r="G212" s="69">
        <v>68153.091</v>
      </c>
    </row>
    <row r="213" spans="1:7">
      <c r="A213" s="30" t="s">
        <v>184</v>
      </c>
      <c r="B213" s="60">
        <v>10.9</v>
      </c>
      <c r="C213" s="60">
        <v>42.7</v>
      </c>
      <c r="D213" s="60">
        <v>37.799999999999997</v>
      </c>
      <c r="E213" s="60">
        <v>8.6</v>
      </c>
      <c r="F213" s="60">
        <f>SUM(B213:E213)</f>
        <v>100</v>
      </c>
      <c r="G213" s="69">
        <v>65328</v>
      </c>
    </row>
    <row r="214" spans="1:7">
      <c r="A214" s="30" t="s">
        <v>8</v>
      </c>
      <c r="B214" s="60">
        <v>27.22067787805269</v>
      </c>
      <c r="C214" s="60">
        <v>40.84517360280622</v>
      </c>
      <c r="D214" s="60">
        <v>25.203936755989581</v>
      </c>
      <c r="E214" s="60">
        <v>6.7302117631515124</v>
      </c>
      <c r="F214" s="60">
        <v>100</v>
      </c>
      <c r="G214" s="73">
        <v>7780.7209999999995</v>
      </c>
    </row>
    <row r="215" spans="1:7">
      <c r="A215" s="30" t="s">
        <v>82</v>
      </c>
      <c r="B215" s="60">
        <v>24.43701313079788</v>
      </c>
      <c r="C215" s="60">
        <v>39.778108210424783</v>
      </c>
      <c r="D215" s="60">
        <v>24.394550045234023</v>
      </c>
      <c r="E215" s="60">
        <v>11.390328613543311</v>
      </c>
      <c r="F215" s="60">
        <v>100</v>
      </c>
      <c r="G215" s="73">
        <v>4059.9969999999998</v>
      </c>
    </row>
    <row r="216" spans="1:7">
      <c r="A216" s="30" t="s">
        <v>9</v>
      </c>
      <c r="B216" s="60">
        <v>26.790496534066921</v>
      </c>
      <c r="C216" s="60">
        <v>41.88662558389737</v>
      </c>
      <c r="D216" s="60">
        <v>28.173254844816082</v>
      </c>
      <c r="E216" s="60">
        <v>3.1496230372196274</v>
      </c>
      <c r="F216" s="60">
        <v>100</v>
      </c>
      <c r="G216" s="73">
        <v>1468.58</v>
      </c>
    </row>
    <row r="217" spans="1:7">
      <c r="A217" s="46" t="s">
        <v>10</v>
      </c>
      <c r="B217" s="47"/>
      <c r="C217" s="47"/>
      <c r="D217" s="47"/>
      <c r="E217" s="47"/>
      <c r="F217" s="47"/>
      <c r="G217" s="369"/>
    </row>
    <row r="218" spans="1:7">
      <c r="A218" s="29" t="s">
        <v>395</v>
      </c>
    </row>
    <row r="221" spans="1:7">
      <c r="A221" s="12" t="s">
        <v>476</v>
      </c>
    </row>
    <row r="223" spans="1:7">
      <c r="A223" s="692" t="s">
        <v>0</v>
      </c>
      <c r="B223" s="691" t="s">
        <v>11</v>
      </c>
      <c r="C223" s="691" t="s">
        <v>12</v>
      </c>
      <c r="D223" s="691" t="s">
        <v>13</v>
      </c>
      <c r="E223" s="691" t="s">
        <v>14</v>
      </c>
      <c r="F223" s="691" t="s">
        <v>10</v>
      </c>
      <c r="G223" s="27" t="s">
        <v>1</v>
      </c>
    </row>
    <row r="224" spans="1:7">
      <c r="A224" s="692"/>
      <c r="B224" s="691"/>
      <c r="C224" s="691"/>
      <c r="D224" s="691"/>
      <c r="E224" s="691"/>
      <c r="F224" s="691"/>
      <c r="G224" s="28" t="s">
        <v>185</v>
      </c>
    </row>
    <row r="225" spans="1:7">
      <c r="A225" s="30" t="s">
        <v>4</v>
      </c>
      <c r="B225" s="33">
        <v>25.677606952795603</v>
      </c>
      <c r="C225" s="33">
        <v>38.008611846998981</v>
      </c>
      <c r="D225" s="33">
        <v>30.621024411678299</v>
      </c>
      <c r="E225" s="33">
        <v>5.6927567885271158</v>
      </c>
      <c r="F225" s="33">
        <v>100.00000000000001</v>
      </c>
      <c r="G225" s="73">
        <v>11358.539000000001</v>
      </c>
    </row>
    <row r="226" spans="1:7">
      <c r="A226" s="30" t="s">
        <v>5</v>
      </c>
      <c r="B226" s="33">
        <v>35.177046851602213</v>
      </c>
      <c r="C226" s="33">
        <v>43.449879746179136</v>
      </c>
      <c r="D226" s="33">
        <v>18.881516814907236</v>
      </c>
      <c r="E226" s="33">
        <v>2.4915565873114098</v>
      </c>
      <c r="F226" s="33">
        <v>100</v>
      </c>
      <c r="G226" s="73">
        <v>17937.060000000001</v>
      </c>
    </row>
    <row r="227" spans="1:7">
      <c r="A227" s="30" t="s">
        <v>50</v>
      </c>
      <c r="B227" s="33">
        <v>24.02</v>
      </c>
      <c r="C227" s="33">
        <v>39.159999999999997</v>
      </c>
      <c r="D227" s="33">
        <v>24.41</v>
      </c>
      <c r="E227" s="33">
        <v>12.37</v>
      </c>
      <c r="F227" s="33">
        <v>100</v>
      </c>
      <c r="G227" s="73">
        <v>2875.7220000000002</v>
      </c>
    </row>
    <row r="228" spans="1:7">
      <c r="A228" s="30" t="s">
        <v>6</v>
      </c>
      <c r="B228" s="33">
        <v>34.299999999999997</v>
      </c>
      <c r="C228" s="33">
        <v>38.5</v>
      </c>
      <c r="D228" s="33">
        <v>21.9</v>
      </c>
      <c r="E228" s="33">
        <v>5.3</v>
      </c>
      <c r="F228" s="33">
        <v>100</v>
      </c>
      <c r="G228" s="73">
        <v>3577</v>
      </c>
    </row>
    <row r="229" spans="1:7">
      <c r="A229" s="30" t="s">
        <v>7</v>
      </c>
      <c r="B229" s="44">
        <v>19.061245778042636</v>
      </c>
      <c r="C229" s="44">
        <v>39.207907313881513</v>
      </c>
      <c r="D229" s="44">
        <v>27.743806999394145</v>
      </c>
      <c r="E229" s="44">
        <v>13.987039908681705</v>
      </c>
      <c r="F229" s="44">
        <v>100</v>
      </c>
      <c r="G229" s="69">
        <v>70436.332999999999</v>
      </c>
    </row>
    <row r="230" spans="1:7">
      <c r="A230" s="30" t="s">
        <v>184</v>
      </c>
      <c r="B230" s="60">
        <v>10.9</v>
      </c>
      <c r="C230" s="60">
        <v>43</v>
      </c>
      <c r="D230" s="60">
        <v>37.4</v>
      </c>
      <c r="E230" s="60">
        <v>8.6999999999999993</v>
      </c>
      <c r="F230" s="60">
        <v>100</v>
      </c>
      <c r="G230" s="69">
        <v>66.179000000000002</v>
      </c>
    </row>
    <row r="231" spans="1:7">
      <c r="A231" s="30" t="s">
        <v>8</v>
      </c>
      <c r="B231" s="60">
        <v>27.502936569018551</v>
      </c>
      <c r="C231" s="60">
        <v>39.892646331903251</v>
      </c>
      <c r="D231" s="60">
        <v>25.33211132314111</v>
      </c>
      <c r="E231" s="60">
        <v>7.2723057759370882</v>
      </c>
      <c r="F231" s="60">
        <v>99.999999999999986</v>
      </c>
      <c r="G231" s="73">
        <v>8251.9770000000008</v>
      </c>
    </row>
    <row r="232" spans="1:7">
      <c r="A232" s="30" t="s">
        <v>82</v>
      </c>
      <c r="B232" s="60">
        <v>24.171501229965202</v>
      </c>
      <c r="C232" s="60">
        <v>39.32895452023886</v>
      </c>
      <c r="D232" s="60">
        <v>24.586322637523558</v>
      </c>
      <c r="E232" s="60">
        <v>11.913221612272382</v>
      </c>
      <c r="F232" s="60">
        <v>100</v>
      </c>
      <c r="G232" s="73">
        <v>4283.0479999999998</v>
      </c>
    </row>
    <row r="233" spans="1:7">
      <c r="A233" s="30" t="s">
        <v>9</v>
      </c>
      <c r="B233" s="60">
        <v>25.520518938194353</v>
      </c>
      <c r="C233" s="60">
        <v>41.827734239261794</v>
      </c>
      <c r="D233" s="60">
        <v>28.895171090187333</v>
      </c>
      <c r="E233" s="60">
        <v>3.755417225451251</v>
      </c>
      <c r="F233" s="60">
        <v>100</v>
      </c>
      <c r="G233" s="73">
        <v>1493.569</v>
      </c>
    </row>
    <row r="234" spans="1:7">
      <c r="A234" s="46" t="s">
        <v>10</v>
      </c>
      <c r="B234" s="47"/>
      <c r="C234" s="47"/>
      <c r="D234" s="47"/>
      <c r="E234" s="47"/>
      <c r="F234" s="47"/>
      <c r="G234" s="369"/>
    </row>
    <row r="235" spans="1:7">
      <c r="A235" s="29" t="s">
        <v>395</v>
      </c>
    </row>
    <row r="239" spans="1:7">
      <c r="A239" s="12" t="s">
        <v>487</v>
      </c>
    </row>
    <row r="241" spans="1:13">
      <c r="A241" s="692" t="s">
        <v>0</v>
      </c>
      <c r="B241" s="691" t="s">
        <v>11</v>
      </c>
      <c r="C241" s="691" t="s">
        <v>12</v>
      </c>
      <c r="D241" s="691" t="s">
        <v>13</v>
      </c>
      <c r="E241" s="691" t="s">
        <v>14</v>
      </c>
      <c r="F241" s="691" t="s">
        <v>10</v>
      </c>
      <c r="G241" s="27" t="s">
        <v>1</v>
      </c>
    </row>
    <row r="242" spans="1:13">
      <c r="A242" s="692"/>
      <c r="B242" s="691"/>
      <c r="C242" s="691"/>
      <c r="D242" s="691"/>
      <c r="E242" s="691"/>
      <c r="F242" s="691"/>
      <c r="G242" s="28" t="s">
        <v>185</v>
      </c>
    </row>
    <row r="243" spans="1:13">
      <c r="A243" s="30" t="s">
        <v>4</v>
      </c>
      <c r="B243" s="33">
        <v>25.371743202128904</v>
      </c>
      <c r="C243" s="33">
        <v>38.504076091753852</v>
      </c>
      <c r="D243" s="33">
        <v>30.301737489925276</v>
      </c>
      <c r="E243" s="33">
        <v>5.8224432161919655</v>
      </c>
      <c r="F243" s="33">
        <v>100</v>
      </c>
      <c r="G243" s="73">
        <v>11611.981</v>
      </c>
    </row>
    <row r="244" spans="1:13">
      <c r="A244" s="30" t="s">
        <v>5</v>
      </c>
      <c r="B244" s="33">
        <v>34.588326036160701</v>
      </c>
      <c r="C244" s="33">
        <v>43.646442311413345</v>
      </c>
      <c r="D244" s="33">
        <v>19.087882334258989</v>
      </c>
      <c r="E244" s="33">
        <v>2.6773493181669572</v>
      </c>
      <c r="F244" s="33">
        <v>100</v>
      </c>
      <c r="G244" s="73">
        <v>18734.424999999999</v>
      </c>
    </row>
    <row r="245" spans="1:13">
      <c r="A245" s="30" t="s">
        <v>50</v>
      </c>
      <c r="B245" s="33">
        <v>23.4</v>
      </c>
      <c r="C245" s="33">
        <v>38.6</v>
      </c>
      <c r="D245" s="33">
        <v>24.8</v>
      </c>
      <c r="E245" s="33">
        <v>13.2</v>
      </c>
      <c r="F245" s="33">
        <f>SUM(B245:E245)</f>
        <v>100</v>
      </c>
      <c r="G245" s="73">
        <v>2979.0390000000002</v>
      </c>
    </row>
    <row r="246" spans="1:13">
      <c r="A246" s="30" t="s">
        <v>6</v>
      </c>
      <c r="B246" s="33"/>
      <c r="C246" s="33"/>
      <c r="D246" s="33"/>
      <c r="E246" s="33"/>
      <c r="F246" s="33"/>
      <c r="G246" s="73"/>
    </row>
    <row r="247" spans="1:13">
      <c r="A247" s="30" t="s">
        <v>7</v>
      </c>
      <c r="B247" s="44">
        <v>18.513469560299736</v>
      </c>
      <c r="C247" s="44">
        <v>38.269337331801864</v>
      </c>
      <c r="D247" s="44">
        <v>28.414804591478948</v>
      </c>
      <c r="E247" s="44">
        <v>14.802388516419457</v>
      </c>
      <c r="F247" s="44">
        <v>100</v>
      </c>
      <c r="G247" s="69">
        <v>72473.103000000003</v>
      </c>
    </row>
    <row r="248" spans="1:13">
      <c r="A248" s="30" t="s">
        <v>369</v>
      </c>
      <c r="B248" s="60">
        <v>11.700000000000001</v>
      </c>
      <c r="C248" s="60">
        <v>42.9</v>
      </c>
      <c r="D248" s="60">
        <v>36.700000000000003</v>
      </c>
      <c r="E248" s="60">
        <v>8.6999999999999993</v>
      </c>
      <c r="F248" s="60">
        <v>100</v>
      </c>
      <c r="G248" s="69">
        <v>71.8</v>
      </c>
      <c r="I248" s="184"/>
      <c r="J248" s="184"/>
      <c r="K248" s="184"/>
      <c r="L248" s="184"/>
      <c r="M248" s="184"/>
    </row>
    <row r="249" spans="1:13">
      <c r="A249" s="30" t="s">
        <v>8</v>
      </c>
      <c r="B249" s="60">
        <v>27.943467012934217</v>
      </c>
      <c r="C249" s="60">
        <v>38.946320362818703</v>
      </c>
      <c r="D249" s="60">
        <v>25.387282471203356</v>
      </c>
      <c r="E249" s="60">
        <v>7.7229301530437251</v>
      </c>
      <c r="F249" s="60">
        <v>100</v>
      </c>
      <c r="G249" s="73">
        <v>8816.3040000000001</v>
      </c>
    </row>
    <row r="250" spans="1:13">
      <c r="A250" s="30" t="s">
        <v>82</v>
      </c>
      <c r="B250" s="60">
        <v>24.034607579999999</v>
      </c>
      <c r="C250" s="60">
        <v>39.58296275</v>
      </c>
      <c r="D250" s="60">
        <v>24.862257709999998</v>
      </c>
      <c r="E250" s="60">
        <v>11.52017195</v>
      </c>
      <c r="F250" s="60">
        <v>100</v>
      </c>
      <c r="G250" s="73">
        <v>4533.473</v>
      </c>
      <c r="I250" s="184"/>
      <c r="J250" s="184"/>
      <c r="K250" s="184"/>
      <c r="L250" s="184"/>
      <c r="M250" s="184"/>
    </row>
    <row r="251" spans="1:13">
      <c r="A251" s="30" t="s">
        <v>9</v>
      </c>
      <c r="B251" s="60">
        <v>25.242790736490605</v>
      </c>
      <c r="C251" s="60">
        <v>40.840135740364232</v>
      </c>
      <c r="D251" s="60">
        <v>29.543738951528397</v>
      </c>
      <c r="E251" s="60">
        <v>4.3722523133515345</v>
      </c>
      <c r="F251" s="60">
        <v>100</v>
      </c>
      <c r="G251" s="73">
        <v>1566.9949999999999</v>
      </c>
    </row>
    <row r="252" spans="1:13">
      <c r="A252" s="46" t="s">
        <v>10</v>
      </c>
      <c r="B252" s="47"/>
      <c r="C252" s="47"/>
      <c r="D252" s="47"/>
      <c r="E252" s="47"/>
      <c r="F252" s="47"/>
      <c r="G252" s="369"/>
    </row>
    <row r="253" spans="1:13">
      <c r="A253" s="29" t="s">
        <v>395</v>
      </c>
    </row>
    <row r="257" spans="1:8">
      <c r="A257" s="12" t="s">
        <v>500</v>
      </c>
    </row>
    <row r="259" spans="1:8">
      <c r="A259" s="692" t="s">
        <v>0</v>
      </c>
      <c r="B259" s="691" t="s">
        <v>11</v>
      </c>
      <c r="C259" s="691" t="s">
        <v>12</v>
      </c>
      <c r="D259" s="691" t="s">
        <v>13</v>
      </c>
      <c r="E259" s="691" t="s">
        <v>14</v>
      </c>
      <c r="F259" s="691" t="s">
        <v>10</v>
      </c>
      <c r="G259" s="27" t="s">
        <v>1</v>
      </c>
    </row>
    <row r="260" spans="1:8">
      <c r="A260" s="692"/>
      <c r="B260" s="691"/>
      <c r="C260" s="691"/>
      <c r="D260" s="691"/>
      <c r="E260" s="691"/>
      <c r="F260" s="691"/>
      <c r="G260" s="28" t="s">
        <v>185</v>
      </c>
    </row>
    <row r="261" spans="1:8">
      <c r="A261" s="30" t="s">
        <v>4</v>
      </c>
      <c r="B261" s="590">
        <v>24.187075876975225</v>
      </c>
      <c r="C261" s="590">
        <v>39.51161076268145</v>
      </c>
      <c r="D261" s="590">
        <v>30.031599558387171</v>
      </c>
      <c r="E261" s="590">
        <v>6.2697138019561534</v>
      </c>
      <c r="F261" s="590">
        <v>100</v>
      </c>
      <c r="G261" s="589">
        <v>11831.178</v>
      </c>
    </row>
    <row r="262" spans="1:8">
      <c r="A262" s="30" t="s">
        <v>5</v>
      </c>
      <c r="B262" s="590">
        <v>32.625986125348852</v>
      </c>
      <c r="C262" s="590">
        <v>44.594193928450643</v>
      </c>
      <c r="D262" s="590">
        <v>19.837784107116534</v>
      </c>
      <c r="E262" s="590">
        <v>2.9420358390839692</v>
      </c>
      <c r="F262" s="590">
        <v>100</v>
      </c>
      <c r="G262" s="589">
        <v>19035.866000000002</v>
      </c>
    </row>
    <row r="263" spans="1:8">
      <c r="A263" s="30" t="s">
        <v>50</v>
      </c>
      <c r="B263" s="590">
        <v>23.123811330098501</v>
      </c>
      <c r="C263" s="590">
        <v>38.659858650355801</v>
      </c>
      <c r="D263" s="590">
        <v>25.175304115102701</v>
      </c>
      <c r="E263" s="590">
        <v>13.04102590444279</v>
      </c>
      <c r="F263" s="590">
        <f>SUM(B263:E263)</f>
        <v>99.999999999999801</v>
      </c>
      <c r="G263" s="589">
        <v>3037.0079999999998</v>
      </c>
    </row>
    <row r="264" spans="1:8">
      <c r="A264" s="30" t="s">
        <v>6</v>
      </c>
      <c r="H264" s="595"/>
    </row>
    <row r="265" spans="1:8">
      <c r="A265" s="30" t="s">
        <v>7</v>
      </c>
      <c r="B265" s="590">
        <v>15.89216730931299</v>
      </c>
      <c r="C265" s="590">
        <v>36.970113353434279</v>
      </c>
      <c r="D265" s="590">
        <v>30.213820528174185</v>
      </c>
      <c r="E265" s="590">
        <v>16.92389880907854</v>
      </c>
      <c r="F265" s="590">
        <v>100</v>
      </c>
      <c r="G265" s="589">
        <v>74237.289000000004</v>
      </c>
    </row>
    <row r="266" spans="1:8">
      <c r="A266" s="30" t="s">
        <v>369</v>
      </c>
      <c r="B266" s="590">
        <v>12</v>
      </c>
      <c r="C266" s="590">
        <v>42.4</v>
      </c>
      <c r="D266" s="590">
        <v>36.6</v>
      </c>
      <c r="E266" s="590">
        <v>9</v>
      </c>
      <c r="F266" s="590">
        <f>SUM(B266:E266)</f>
        <v>100</v>
      </c>
      <c r="G266" s="589">
        <v>78.599999999999994</v>
      </c>
    </row>
    <row r="267" spans="1:8">
      <c r="A267" s="30" t="s">
        <v>8</v>
      </c>
      <c r="B267" s="590">
        <v>27.517822862131496</v>
      </c>
      <c r="C267" s="590">
        <v>38.602182345569744</v>
      </c>
      <c r="D267" s="590">
        <v>25.602754266605228</v>
      </c>
      <c r="E267" s="590">
        <v>8.277240525693534</v>
      </c>
      <c r="F267" s="590">
        <v>100</v>
      </c>
      <c r="G267" s="589">
        <v>9286.2469999999994</v>
      </c>
    </row>
    <row r="268" spans="1:8">
      <c r="A268" s="30" t="s">
        <v>82</v>
      </c>
      <c r="B268" s="590">
        <v>22.633219752792666</v>
      </c>
      <c r="C268" s="590">
        <v>38.819494073676267</v>
      </c>
      <c r="D268" s="590">
        <v>25.257022402483969</v>
      </c>
      <c r="E268" s="590">
        <v>13.290263771047101</v>
      </c>
      <c r="F268" s="590">
        <v>100</v>
      </c>
      <c r="G268" s="589">
        <v>4774.2920000000004</v>
      </c>
    </row>
    <row r="269" spans="1:8">
      <c r="A269" s="30" t="s">
        <v>9</v>
      </c>
      <c r="B269" s="590">
        <v>25.15</v>
      </c>
      <c r="C269" s="590">
        <v>40.35</v>
      </c>
      <c r="D269" s="590">
        <v>29.81</v>
      </c>
      <c r="E269" s="590">
        <v>4.6900000000000004</v>
      </c>
      <c r="F269" s="590">
        <v>100</v>
      </c>
      <c r="G269" s="589">
        <v>1588.298</v>
      </c>
    </row>
    <row r="270" spans="1:8">
      <c r="A270" s="46" t="s">
        <v>10</v>
      </c>
      <c r="B270" s="47"/>
      <c r="C270" s="47"/>
      <c r="D270" s="47"/>
      <c r="E270" s="47"/>
      <c r="F270" s="47"/>
      <c r="G270" s="369"/>
    </row>
    <row r="271" spans="1:8">
      <c r="A271" s="29" t="s">
        <v>395</v>
      </c>
    </row>
    <row r="275" spans="1:8">
      <c r="A275" s="12" t="s">
        <v>519</v>
      </c>
    </row>
    <row r="277" spans="1:8">
      <c r="A277" s="692" t="s">
        <v>0</v>
      </c>
      <c r="B277" s="691" t="s">
        <v>11</v>
      </c>
      <c r="C277" s="691" t="s">
        <v>12</v>
      </c>
      <c r="D277" s="691" t="s">
        <v>13</v>
      </c>
      <c r="E277" s="691" t="s">
        <v>14</v>
      </c>
      <c r="F277" s="691" t="s">
        <v>10</v>
      </c>
      <c r="G277" s="27" t="s">
        <v>1</v>
      </c>
    </row>
    <row r="278" spans="1:8">
      <c r="A278" s="692"/>
      <c r="B278" s="691"/>
      <c r="C278" s="691"/>
      <c r="D278" s="691"/>
      <c r="E278" s="691"/>
      <c r="F278" s="691"/>
      <c r="G278" s="28" t="s">
        <v>185</v>
      </c>
    </row>
    <row r="279" spans="1:8">
      <c r="A279" s="30" t="s">
        <v>4</v>
      </c>
      <c r="B279" s="590">
        <v>23.811495448198357</v>
      </c>
      <c r="C279" s="590">
        <v>39.713062475626579</v>
      </c>
      <c r="D279" s="590">
        <v>29.927431156883053</v>
      </c>
      <c r="E279" s="590">
        <v>6.5480109192920075</v>
      </c>
      <c r="F279" s="590">
        <v>100</v>
      </c>
      <c r="G279" s="589">
        <v>11923.85</v>
      </c>
    </row>
    <row r="280" spans="1:8">
      <c r="A280" s="30" t="s">
        <v>5</v>
      </c>
      <c r="B280" s="590">
        <v>30.445899904984586</v>
      </c>
      <c r="C280" s="590">
        <v>45.679401341980167</v>
      </c>
      <c r="D280" s="590">
        <v>20.727706787623706</v>
      </c>
      <c r="E280" s="590">
        <v>3.1469919654115364</v>
      </c>
      <c r="F280" s="590">
        <v>100</v>
      </c>
      <c r="G280" s="589">
        <v>19210</v>
      </c>
    </row>
    <row r="281" spans="1:8">
      <c r="A281" s="30" t="s">
        <v>50</v>
      </c>
      <c r="B281" s="590">
        <v>22.67</v>
      </c>
      <c r="C281" s="590">
        <v>38.090000000000003</v>
      </c>
      <c r="D281" s="590">
        <v>25.51</v>
      </c>
      <c r="E281" s="590">
        <v>13.73</v>
      </c>
      <c r="F281" s="590">
        <f>SUM(B281:E281)</f>
        <v>100.00000000000001</v>
      </c>
      <c r="G281" s="589">
        <v>3139.9769999999999</v>
      </c>
    </row>
    <row r="282" spans="1:8">
      <c r="A282" s="30" t="s">
        <v>6</v>
      </c>
      <c r="H282" s="595"/>
    </row>
    <row r="283" spans="1:8">
      <c r="A283" s="30" t="s">
        <v>7</v>
      </c>
      <c r="B283" s="590">
        <v>14.548192680228144</v>
      </c>
      <c r="C283" s="590">
        <v>36.281584667510728</v>
      </c>
      <c r="D283" s="590">
        <v>31.128919589423802</v>
      </c>
      <c r="E283" s="590">
        <v>18.041303062837322</v>
      </c>
      <c r="F283" s="590">
        <v>100</v>
      </c>
      <c r="G283" s="589">
        <v>68679.740999999995</v>
      </c>
    </row>
    <row r="284" spans="1:8">
      <c r="A284" s="30" t="s">
        <v>369</v>
      </c>
      <c r="B284" s="590">
        <v>12.2</v>
      </c>
      <c r="C284" s="590">
        <v>42.1</v>
      </c>
      <c r="D284" s="590">
        <v>36.700000000000003</v>
      </c>
      <c r="E284" s="590">
        <v>9</v>
      </c>
      <c r="F284" s="590">
        <f>SUM(B284:E284)</f>
        <v>100</v>
      </c>
      <c r="G284" s="589">
        <v>86.3</v>
      </c>
    </row>
    <row r="285" spans="1:8">
      <c r="A285" s="30" t="s">
        <v>8</v>
      </c>
      <c r="B285" s="590">
        <v>27.230318122269786</v>
      </c>
      <c r="C285" s="590">
        <v>38.334865128052627</v>
      </c>
      <c r="D285" s="590">
        <v>25.658801888461454</v>
      </c>
      <c r="E285" s="590">
        <v>8.7760148612161331</v>
      </c>
      <c r="F285" s="590">
        <v>100</v>
      </c>
      <c r="G285" s="589">
        <v>9795.6990000000005</v>
      </c>
    </row>
    <row r="286" spans="1:8">
      <c r="A286" s="30" t="s">
        <v>82</v>
      </c>
      <c r="B286" s="590">
        <v>20.996729903102199</v>
      </c>
      <c r="C286" s="590">
        <v>37.543917329781202</v>
      </c>
      <c r="D286" s="590">
        <v>25.848377925734901</v>
      </c>
      <c r="E286" s="590">
        <v>15.610974841381701</v>
      </c>
      <c r="F286" s="590">
        <v>100</v>
      </c>
      <c r="G286" s="589">
        <v>5310.5460000000003</v>
      </c>
    </row>
    <row r="287" spans="1:8">
      <c r="A287" s="30" t="s">
        <v>9</v>
      </c>
      <c r="B287" s="590">
        <v>26.06431597049847</v>
      </c>
      <c r="C287" s="590">
        <v>39.515490973001747</v>
      </c>
      <c r="D287" s="590">
        <v>29.40839187249879</v>
      </c>
      <c r="E287" s="590">
        <v>5.0118011840009977</v>
      </c>
      <c r="F287" s="590">
        <v>100</v>
      </c>
      <c r="G287" s="589">
        <v>1673.2819999999999</v>
      </c>
    </row>
    <row r="288" spans="1:8">
      <c r="A288" s="46" t="s">
        <v>10</v>
      </c>
      <c r="B288" s="47"/>
      <c r="C288" s="47"/>
      <c r="D288" s="47"/>
      <c r="E288" s="47"/>
      <c r="F288" s="47"/>
      <c r="G288" s="369"/>
    </row>
    <row r="289" spans="1:8">
      <c r="A289" s="29" t="s">
        <v>395</v>
      </c>
    </row>
    <row r="293" spans="1:8">
      <c r="A293" s="12" t="s">
        <v>531</v>
      </c>
    </row>
    <row r="295" spans="1:8">
      <c r="A295" s="692" t="s">
        <v>0</v>
      </c>
      <c r="B295" s="691" t="s">
        <v>11</v>
      </c>
      <c r="C295" s="691" t="s">
        <v>12</v>
      </c>
      <c r="D295" s="691" t="s">
        <v>13</v>
      </c>
      <c r="E295" s="691" t="s">
        <v>14</v>
      </c>
      <c r="F295" s="691" t="s">
        <v>10</v>
      </c>
      <c r="G295" s="27" t="s">
        <v>1</v>
      </c>
    </row>
    <row r="296" spans="1:8">
      <c r="A296" s="692"/>
      <c r="B296" s="691"/>
      <c r="C296" s="691"/>
      <c r="D296" s="691"/>
      <c r="E296" s="691"/>
      <c r="F296" s="691"/>
      <c r="G296" s="28" t="s">
        <v>185</v>
      </c>
    </row>
    <row r="297" spans="1:8">
      <c r="A297" s="30" t="s">
        <v>4</v>
      </c>
      <c r="B297" s="678">
        <v>23.26463356703098</v>
      </c>
      <c r="C297" s="678">
        <v>40.083615665475257</v>
      </c>
      <c r="D297" s="678">
        <v>29.787236677360035</v>
      </c>
      <c r="E297" s="678">
        <v>6.8645140901337278</v>
      </c>
      <c r="F297" s="678">
        <v>100</v>
      </c>
      <c r="G297" s="450">
        <v>12112.802</v>
      </c>
    </row>
    <row r="298" spans="1:8">
      <c r="A298" s="30" t="s">
        <v>5</v>
      </c>
      <c r="B298" s="678">
        <v>28.514720000000001</v>
      </c>
      <c r="C298" s="678">
        <v>46.647114000000002</v>
      </c>
      <c r="D298" s="678">
        <v>21.528777000000002</v>
      </c>
      <c r="E298" s="678">
        <v>3.3093889999999999</v>
      </c>
      <c r="F298" s="678">
        <v>100</v>
      </c>
      <c r="G298" s="450">
        <v>19382.824000000001</v>
      </c>
    </row>
    <row r="299" spans="1:8">
      <c r="A299" s="30" t="s">
        <v>50</v>
      </c>
      <c r="B299" s="678">
        <v>22.1042417032968</v>
      </c>
      <c r="C299" s="678">
        <v>37.531056702265801</v>
      </c>
      <c r="D299" s="678">
        <v>25.958719664746798</v>
      </c>
      <c r="E299" s="678">
        <v>14.3925962862104</v>
      </c>
      <c r="F299" s="678">
        <v>99.986614356519809</v>
      </c>
      <c r="G299" s="450">
        <v>3234.8090000000002</v>
      </c>
    </row>
    <row r="300" spans="1:8">
      <c r="A300" s="30" t="s">
        <v>6</v>
      </c>
      <c r="B300" s="678"/>
      <c r="C300" s="678"/>
      <c r="D300" s="678"/>
      <c r="E300" s="678"/>
      <c r="F300" s="678"/>
      <c r="G300" s="450"/>
      <c r="H300" s="595"/>
    </row>
    <row r="301" spans="1:8">
      <c r="A301" s="30" t="s">
        <v>7</v>
      </c>
      <c r="B301" s="678">
        <v>19.485834487387567</v>
      </c>
      <c r="C301" s="678">
        <v>37.489191106068915</v>
      </c>
      <c r="D301" s="678">
        <v>31.077930829453699</v>
      </c>
      <c r="E301" s="678">
        <v>11.947043577089824</v>
      </c>
      <c r="F301" s="450">
        <v>100</v>
      </c>
      <c r="G301" s="678">
        <v>69734.694000000003</v>
      </c>
    </row>
    <row r="302" spans="1:8">
      <c r="A302" s="30" t="s">
        <v>369</v>
      </c>
      <c r="B302" s="678">
        <v>12.6897133220911</v>
      </c>
      <c r="C302" s="678">
        <v>41.5847488997656</v>
      </c>
      <c r="D302" s="678">
        <v>36.559659441451103</v>
      </c>
      <c r="E302" s="678">
        <v>9.1658783366923</v>
      </c>
      <c r="F302" s="450">
        <f>SUM(B302:E302)</f>
        <v>100.0000000000001</v>
      </c>
      <c r="G302" s="678">
        <v>97.2</v>
      </c>
    </row>
    <row r="303" spans="1:8">
      <c r="A303" s="30" t="s">
        <v>8</v>
      </c>
      <c r="B303" s="678">
        <v>26.720711650939737</v>
      </c>
      <c r="C303" s="678">
        <v>37.956634126215057</v>
      </c>
      <c r="D303" s="678">
        <v>25.703182108582602</v>
      </c>
      <c r="E303" s="678">
        <v>9.619472114262603</v>
      </c>
      <c r="F303" s="450">
        <v>100</v>
      </c>
      <c r="G303" s="678">
        <v>10290.313</v>
      </c>
    </row>
    <row r="304" spans="1:8">
      <c r="A304" s="30" t="s">
        <v>82</v>
      </c>
      <c r="B304" s="678">
        <v>21.049249273301399</v>
      </c>
      <c r="C304" s="678">
        <v>38.032877681153302</v>
      </c>
      <c r="D304" s="678">
        <v>26.236785494891802</v>
      </c>
      <c r="E304" s="678">
        <v>14.681087550653601</v>
      </c>
      <c r="F304" s="450">
        <v>100</v>
      </c>
      <c r="G304" s="678">
        <v>5293.8040000000001</v>
      </c>
    </row>
    <row r="305" spans="1:7">
      <c r="A305" s="30" t="s">
        <v>9</v>
      </c>
      <c r="B305" s="678">
        <v>26.286954911667266</v>
      </c>
      <c r="C305" s="678">
        <v>38.838551475240443</v>
      </c>
      <c r="D305" s="678">
        <v>29.381812943779732</v>
      </c>
      <c r="E305" s="678">
        <v>5.4926806693125574</v>
      </c>
      <c r="F305" s="450">
        <v>100</v>
      </c>
      <c r="G305" s="678">
        <v>1728.3489999999999</v>
      </c>
    </row>
    <row r="306" spans="1:7">
      <c r="A306" s="46" t="s">
        <v>10</v>
      </c>
      <c r="B306" s="47"/>
      <c r="C306" s="47"/>
      <c r="D306" s="47"/>
      <c r="E306" s="47"/>
      <c r="F306" s="47"/>
      <c r="G306" s="369"/>
    </row>
    <row r="307" spans="1:7">
      <c r="A307" s="29" t="s">
        <v>395</v>
      </c>
    </row>
  </sheetData>
  <mergeCells count="96">
    <mergeCell ref="E241:E242"/>
    <mergeCell ref="F241:F242"/>
    <mergeCell ref="A241:A242"/>
    <mergeCell ref="B241:B242"/>
    <mergeCell ref="C241:C242"/>
    <mergeCell ref="D241:D242"/>
    <mergeCell ref="E223:E224"/>
    <mergeCell ref="F223:F224"/>
    <mergeCell ref="A223:A224"/>
    <mergeCell ref="B223:B224"/>
    <mergeCell ref="C223:C224"/>
    <mergeCell ref="D223:D224"/>
    <mergeCell ref="F206:F207"/>
    <mergeCell ref="A206:A207"/>
    <mergeCell ref="B206:B207"/>
    <mergeCell ref="C206:C207"/>
    <mergeCell ref="D206:D207"/>
    <mergeCell ref="E206:E207"/>
    <mergeCell ref="F152:F153"/>
    <mergeCell ref="A152:A153"/>
    <mergeCell ref="B152:B153"/>
    <mergeCell ref="C152:C153"/>
    <mergeCell ref="D152:D153"/>
    <mergeCell ref="E152:E153"/>
    <mergeCell ref="F133:F134"/>
    <mergeCell ref="A133:A134"/>
    <mergeCell ref="B133:B134"/>
    <mergeCell ref="C133:C134"/>
    <mergeCell ref="D133:D134"/>
    <mergeCell ref="E133:E134"/>
    <mergeCell ref="F114:F115"/>
    <mergeCell ref="A114:A115"/>
    <mergeCell ref="B114:B115"/>
    <mergeCell ref="C114:C115"/>
    <mergeCell ref="D114:D115"/>
    <mergeCell ref="E114:E115"/>
    <mergeCell ref="A57:A58"/>
    <mergeCell ref="F19:F20"/>
    <mergeCell ref="A19:A20"/>
    <mergeCell ref="B19:B20"/>
    <mergeCell ref="C19:C20"/>
    <mergeCell ref="D19:D20"/>
    <mergeCell ref="E19:E20"/>
    <mergeCell ref="A38:A39"/>
    <mergeCell ref="B38:B39"/>
    <mergeCell ref="C38:C39"/>
    <mergeCell ref="D38:D39"/>
    <mergeCell ref="E76:E77"/>
    <mergeCell ref="F38:F39"/>
    <mergeCell ref="B57:B58"/>
    <mergeCell ref="C57:C58"/>
    <mergeCell ref="D57:D58"/>
    <mergeCell ref="F76:F77"/>
    <mergeCell ref="E57:E58"/>
    <mergeCell ref="F57:F58"/>
    <mergeCell ref="E38:E39"/>
    <mergeCell ref="E95:E96"/>
    <mergeCell ref="F95:F96"/>
    <mergeCell ref="A76:A77"/>
    <mergeCell ref="F172:F173"/>
    <mergeCell ref="A172:A173"/>
    <mergeCell ref="B172:B173"/>
    <mergeCell ref="C172:C173"/>
    <mergeCell ref="D172:D173"/>
    <mergeCell ref="E172:E173"/>
    <mergeCell ref="A95:A96"/>
    <mergeCell ref="B95:B96"/>
    <mergeCell ref="C95:C96"/>
    <mergeCell ref="D95:D96"/>
    <mergeCell ref="B76:B77"/>
    <mergeCell ref="C76:C77"/>
    <mergeCell ref="D76:D77"/>
    <mergeCell ref="F189:F190"/>
    <mergeCell ref="A189:A190"/>
    <mergeCell ref="B189:B190"/>
    <mergeCell ref="C189:C190"/>
    <mergeCell ref="D189:D190"/>
    <mergeCell ref="E189:E190"/>
    <mergeCell ref="E259:E260"/>
    <mergeCell ref="F259:F260"/>
    <mergeCell ref="A259:A260"/>
    <mergeCell ref="B259:B260"/>
    <mergeCell ref="C259:C260"/>
    <mergeCell ref="D259:D260"/>
    <mergeCell ref="F277:F278"/>
    <mergeCell ref="A277:A278"/>
    <mergeCell ref="B277:B278"/>
    <mergeCell ref="C277:C278"/>
    <mergeCell ref="D277:D278"/>
    <mergeCell ref="E277:E278"/>
    <mergeCell ref="F295:F296"/>
    <mergeCell ref="A295:A296"/>
    <mergeCell ref="B295:B296"/>
    <mergeCell ref="C295:C296"/>
    <mergeCell ref="D295:D296"/>
    <mergeCell ref="E295:E296"/>
  </mergeCells>
  <phoneticPr fontId="9" type="noConversion"/>
  <pageMargins left="0.70866141732283472" right="0.70866141732283472" top="0.74803149606299213" bottom="0.74803149606299213" header="0.31496062992125984" footer="0.31496062992125984"/>
  <pageSetup paperSize="9" orientation="portrait" r:id="rId1"/>
  <headerFooter alignWithMargins="0">
    <oddHeader>&amp;A</oddHeader>
    <oddFooter>&amp;L&amp;F&amp;R&amp;D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X23"/>
  <sheetViews>
    <sheetView showGridLines="0" zoomScale="90" zoomScaleNormal="90" workbookViewId="0"/>
  </sheetViews>
  <sheetFormatPr baseColWidth="10" defaultRowHeight="15"/>
  <cols>
    <col min="1" max="1" width="12.625" style="13" customWidth="1"/>
    <col min="2" max="7" width="10.375" style="13" bestFit="1" customWidth="1"/>
    <col min="8" max="8" width="11" style="13" customWidth="1"/>
    <col min="9" max="16384" width="11" style="13"/>
  </cols>
  <sheetData>
    <row r="1" spans="1:24" s="11" customFormat="1" ht="15.75" customHeight="1">
      <c r="A1" s="10" t="s">
        <v>301</v>
      </c>
      <c r="B1" s="75"/>
      <c r="C1" s="75"/>
      <c r="D1" s="75"/>
      <c r="E1" s="75"/>
      <c r="F1" s="13"/>
    </row>
    <row r="2" spans="1:24" s="11" customFormat="1" ht="15.75" customHeight="1">
      <c r="A2" s="12" t="s">
        <v>116</v>
      </c>
      <c r="B2" s="75"/>
      <c r="C2" s="75"/>
      <c r="D2" s="75"/>
      <c r="E2" s="75"/>
      <c r="F2" s="13"/>
    </row>
    <row r="3" spans="1:24" ht="9.75" customHeight="1">
      <c r="A3" s="164"/>
      <c r="B3" s="75"/>
      <c r="C3" s="75"/>
      <c r="D3" s="75"/>
      <c r="E3" s="75"/>
    </row>
    <row r="4" spans="1:24" ht="33.75" customHeight="1">
      <c r="A4" s="348" t="s">
        <v>0</v>
      </c>
      <c r="B4" s="77" t="s">
        <v>121</v>
      </c>
      <c r="C4" s="77" t="s">
        <v>119</v>
      </c>
      <c r="D4" s="77" t="s">
        <v>124</v>
      </c>
      <c r="E4" s="77" t="s">
        <v>141</v>
      </c>
      <c r="F4" s="77" t="s">
        <v>160</v>
      </c>
      <c r="G4" s="77" t="s">
        <v>177</v>
      </c>
      <c r="H4" s="317" t="s">
        <v>186</v>
      </c>
      <c r="I4" s="317" t="s">
        <v>188</v>
      </c>
      <c r="J4" s="317" t="s">
        <v>199</v>
      </c>
      <c r="K4" s="317" t="s">
        <v>200</v>
      </c>
      <c r="L4" s="317" t="s">
        <v>201</v>
      </c>
      <c r="M4" s="317" t="s">
        <v>202</v>
      </c>
      <c r="N4" s="317" t="s">
        <v>354</v>
      </c>
      <c r="O4" s="317" t="s">
        <v>371</v>
      </c>
      <c r="P4" s="317" t="s">
        <v>383</v>
      </c>
      <c r="Q4" s="317" t="s">
        <v>401</v>
      </c>
      <c r="R4" s="317" t="s">
        <v>440</v>
      </c>
      <c r="S4" s="317" t="s">
        <v>465</v>
      </c>
      <c r="T4" s="317" t="s">
        <v>477</v>
      </c>
      <c r="U4" s="317" t="s">
        <v>488</v>
      </c>
      <c r="V4" s="317" t="s">
        <v>499</v>
      </c>
      <c r="W4" s="317" t="s">
        <v>518</v>
      </c>
      <c r="X4" s="317" t="s">
        <v>530</v>
      </c>
    </row>
    <row r="5" spans="1:24" ht="5.0999999999999996" customHeight="1">
      <c r="A5" s="15"/>
      <c r="B5" s="18"/>
      <c r="C5" s="18"/>
      <c r="D5" s="18"/>
      <c r="E5" s="18"/>
      <c r="F5" s="18"/>
      <c r="G5" s="18"/>
    </row>
    <row r="6" spans="1:24" ht="15.75" hidden="1" customHeight="1">
      <c r="A6" s="9" t="s">
        <v>2</v>
      </c>
      <c r="B6" s="349">
        <v>32.564920295601361</v>
      </c>
      <c r="C6" s="349">
        <v>32.834190337106875</v>
      </c>
      <c r="D6" s="349">
        <v>33.081713578968305</v>
      </c>
      <c r="E6" s="349">
        <v>33.339799906753896</v>
      </c>
      <c r="F6" s="349">
        <v>32.820479391669011</v>
      </c>
      <c r="G6" s="350"/>
      <c r="H6" s="80"/>
      <c r="I6" s="80"/>
      <c r="J6" s="80"/>
      <c r="K6" s="80"/>
      <c r="L6" s="80"/>
      <c r="M6" s="80"/>
      <c r="N6" s="80"/>
    </row>
    <row r="7" spans="1:24" ht="15.75" hidden="1" customHeight="1">
      <c r="A7" s="9" t="s">
        <v>3</v>
      </c>
      <c r="B7" s="349">
        <v>33.917798378463957</v>
      </c>
      <c r="C7" s="349">
        <v>34.620757494509547</v>
      </c>
      <c r="D7" s="349">
        <v>34.545073123951092</v>
      </c>
      <c r="E7" s="349">
        <v>34.450391165731517</v>
      </c>
      <c r="F7" s="349">
        <v>34.614506770184839</v>
      </c>
      <c r="G7" s="349">
        <v>34.890790323935285</v>
      </c>
      <c r="H7" s="34">
        <v>35.1</v>
      </c>
      <c r="I7" s="31"/>
      <c r="J7" s="80"/>
      <c r="K7" s="80"/>
      <c r="L7" s="80"/>
      <c r="M7" s="80"/>
      <c r="N7" s="80"/>
    </row>
    <row r="8" spans="1:24" ht="15.75" customHeight="1">
      <c r="A8" s="9" t="s">
        <v>4</v>
      </c>
      <c r="B8" s="349">
        <v>43.564464818335011</v>
      </c>
      <c r="C8" s="349">
        <v>44.011309137612585</v>
      </c>
      <c r="D8" s="349">
        <v>44.271246787817873</v>
      </c>
      <c r="E8" s="349">
        <v>44.919828342759004</v>
      </c>
      <c r="F8" s="349">
        <v>45.205494268194855</v>
      </c>
      <c r="G8" s="349">
        <v>45.465565342397326</v>
      </c>
      <c r="H8" s="404">
        <v>45.7</v>
      </c>
      <c r="I8" s="404">
        <v>46.000042509097177</v>
      </c>
      <c r="J8" s="404">
        <v>46.1</v>
      </c>
      <c r="K8" s="404">
        <v>46.213703242422596</v>
      </c>
      <c r="L8" s="404">
        <v>46.377509068720705</v>
      </c>
      <c r="M8" s="404">
        <v>46.694397056902773</v>
      </c>
      <c r="N8" s="404">
        <v>46.791458344250124</v>
      </c>
      <c r="O8" s="404">
        <v>46.880085812782454</v>
      </c>
      <c r="P8" s="404">
        <v>46.767621282074607</v>
      </c>
      <c r="Q8" s="404">
        <v>46.722038036063537</v>
      </c>
      <c r="R8" s="404">
        <v>46.716519653926881</v>
      </c>
      <c r="S8" s="404">
        <v>46.767634882855241</v>
      </c>
      <c r="T8" s="404">
        <v>46.926624982315069</v>
      </c>
      <c r="U8" s="404">
        <v>46.993979752464284</v>
      </c>
      <c r="V8" s="404">
        <v>46.974341861816299</v>
      </c>
      <c r="W8" s="404">
        <v>46.951412505189182</v>
      </c>
      <c r="X8" s="404">
        <v>46.905455896992287</v>
      </c>
    </row>
    <row r="9" spans="1:24" ht="15.75" customHeight="1">
      <c r="A9" s="9" t="s">
        <v>5</v>
      </c>
      <c r="B9" s="349">
        <v>41.025830885457445</v>
      </c>
      <c r="C9" s="349">
        <v>41.031242670593777</v>
      </c>
      <c r="D9" s="349">
        <v>40.862100647257691</v>
      </c>
      <c r="E9" s="349">
        <v>40.615897751404475</v>
      </c>
      <c r="F9" s="349">
        <v>41.527039036871678</v>
      </c>
      <c r="G9" s="349">
        <v>41.632585512554805</v>
      </c>
      <c r="H9" s="404">
        <v>42</v>
      </c>
      <c r="I9" s="404">
        <v>42.192502132049654</v>
      </c>
      <c r="J9" s="404">
        <v>41.977212505251799</v>
      </c>
      <c r="K9" s="404">
        <v>42.084175552319302</v>
      </c>
      <c r="L9" s="404">
        <v>42.177412581133801</v>
      </c>
      <c r="M9" s="404">
        <v>42.434400209407599</v>
      </c>
      <c r="N9" s="404">
        <v>42.7</v>
      </c>
      <c r="O9" s="404">
        <v>42.933904019844398</v>
      </c>
      <c r="P9" s="404">
        <v>43.158142191140897</v>
      </c>
      <c r="Q9" s="349" t="s">
        <v>149</v>
      </c>
      <c r="R9" s="349" t="s">
        <v>149</v>
      </c>
      <c r="S9" s="349" t="s">
        <v>149</v>
      </c>
      <c r="T9" s="406">
        <v>44.324811312444737</v>
      </c>
      <c r="U9" s="406">
        <v>44.593895996274242</v>
      </c>
      <c r="V9" s="406">
        <v>44.604642723341151</v>
      </c>
      <c r="W9" s="406">
        <v>44.586471601801236</v>
      </c>
      <c r="X9" s="406">
        <v>44.562829999999998</v>
      </c>
    </row>
    <row r="10" spans="1:24" ht="15.75" customHeight="1">
      <c r="A10" s="9" t="s">
        <v>50</v>
      </c>
      <c r="B10" s="349" t="s">
        <v>149</v>
      </c>
      <c r="C10" s="349">
        <v>34.858935163706583</v>
      </c>
      <c r="D10" s="349">
        <v>35.44</v>
      </c>
      <c r="E10" s="349">
        <v>35.78</v>
      </c>
      <c r="F10" s="349">
        <v>36.260762084663249</v>
      </c>
      <c r="G10" s="349">
        <v>36.589001302213767</v>
      </c>
      <c r="H10" s="404">
        <v>36.9</v>
      </c>
      <c r="I10" s="404">
        <v>37.367548553874208</v>
      </c>
      <c r="J10" s="404">
        <v>37.503614739373639</v>
      </c>
      <c r="K10" s="404">
        <v>37.701151663694546</v>
      </c>
      <c r="L10" s="404">
        <v>37.979980469621694</v>
      </c>
      <c r="M10" s="404">
        <v>38.21096992661122</v>
      </c>
      <c r="N10" s="404">
        <v>38.449006503281645</v>
      </c>
      <c r="O10" s="404">
        <v>38.68</v>
      </c>
      <c r="P10" s="404">
        <v>38.9</v>
      </c>
      <c r="Q10" s="404">
        <v>39.090000000000003</v>
      </c>
      <c r="R10" s="404">
        <v>39.28</v>
      </c>
      <c r="S10" s="404">
        <v>39.4</v>
      </c>
      <c r="T10" s="404">
        <v>39.5</v>
      </c>
      <c r="U10" s="404">
        <v>39.799999999999997</v>
      </c>
      <c r="V10" s="404">
        <v>40.221428458535499</v>
      </c>
      <c r="W10" s="404">
        <v>40.420232377498301</v>
      </c>
      <c r="X10" s="404">
        <v>40.531141096738601</v>
      </c>
    </row>
    <row r="11" spans="1:24" ht="15.75" customHeight="1">
      <c r="A11" s="9" t="s">
        <v>6</v>
      </c>
      <c r="B11" s="349">
        <v>42.225216916257246</v>
      </c>
      <c r="C11" s="349">
        <v>42.615133524543928</v>
      </c>
      <c r="D11" s="349">
        <v>42.835899271243413</v>
      </c>
      <c r="E11" s="349">
        <v>43.280574118210133</v>
      </c>
      <c r="F11" s="349">
        <v>43.950145940572746</v>
      </c>
      <c r="G11" s="349">
        <v>44.878513446808469</v>
      </c>
      <c r="H11" s="404">
        <v>45.2</v>
      </c>
      <c r="I11" s="404">
        <v>45.511359982247804</v>
      </c>
      <c r="J11" s="404">
        <v>45.884070542717254</v>
      </c>
      <c r="K11" s="404">
        <v>46.112019843956041</v>
      </c>
      <c r="L11" s="404">
        <v>46.305001816659747</v>
      </c>
      <c r="M11" s="404">
        <v>46.489690319777587</v>
      </c>
      <c r="N11" s="404">
        <v>46.72054154148087</v>
      </c>
      <c r="O11" s="404">
        <v>46.932069708757027</v>
      </c>
      <c r="P11" s="404">
        <v>47.111756281886905</v>
      </c>
      <c r="Q11" s="404">
        <v>47.321826793941248</v>
      </c>
      <c r="R11" s="404">
        <v>47.499178399283657</v>
      </c>
      <c r="S11" s="404">
        <v>47.576896741849694</v>
      </c>
      <c r="T11" s="404">
        <v>47.7</v>
      </c>
      <c r="U11" s="349" t="s">
        <v>149</v>
      </c>
      <c r="V11" s="349" t="s">
        <v>149</v>
      </c>
      <c r="W11" s="349" t="s">
        <v>149</v>
      </c>
      <c r="X11" s="349" t="s">
        <v>149</v>
      </c>
    </row>
    <row r="12" spans="1:24" ht="15.75" customHeight="1">
      <c r="A12" s="9" t="s">
        <v>405</v>
      </c>
      <c r="B12" s="349">
        <v>37.036339591082623</v>
      </c>
      <c r="C12" s="349">
        <v>37.374973331526022</v>
      </c>
      <c r="D12" s="349">
        <v>37.483884708128357</v>
      </c>
      <c r="E12" s="349">
        <v>37.720000209576199</v>
      </c>
      <c r="F12" s="349">
        <v>38.066254694623339</v>
      </c>
      <c r="G12" s="349">
        <v>37.704121273282738</v>
      </c>
      <c r="H12" s="404">
        <v>38.4</v>
      </c>
      <c r="I12" s="404">
        <v>27.34456279241202</v>
      </c>
      <c r="J12" s="406">
        <v>39.030613468893719</v>
      </c>
      <c r="K12" s="406">
        <v>39.212564160483346</v>
      </c>
      <c r="L12" s="406">
        <v>39.273104752242773</v>
      </c>
      <c r="M12" s="406">
        <v>39.467923159797095</v>
      </c>
      <c r="N12" s="406">
        <v>39.680569174701716</v>
      </c>
      <c r="O12" s="406">
        <v>39.799999999999997</v>
      </c>
      <c r="P12" s="406">
        <v>40.181760655156225</v>
      </c>
      <c r="Q12" s="406">
        <v>40.517822475632556</v>
      </c>
      <c r="R12" s="406">
        <v>41.081846067434242</v>
      </c>
      <c r="S12" s="406">
        <v>41.611945018679208</v>
      </c>
      <c r="T12" s="406">
        <v>41.960757516595081</v>
      </c>
      <c r="U12" s="406">
        <v>42.254804696119045</v>
      </c>
      <c r="V12" s="406">
        <v>42.382651976416383</v>
      </c>
      <c r="W12" s="406">
        <v>42.502476519799792</v>
      </c>
      <c r="X12" s="406">
        <v>42.468345931033504</v>
      </c>
    </row>
    <row r="13" spans="1:24" ht="15.75" customHeight="1">
      <c r="A13" s="9" t="s">
        <v>369</v>
      </c>
      <c r="B13" s="349" t="s">
        <v>149</v>
      </c>
      <c r="C13" s="349" t="s">
        <v>149</v>
      </c>
      <c r="D13" s="349" t="s">
        <v>149</v>
      </c>
      <c r="E13" s="349" t="s">
        <v>149</v>
      </c>
      <c r="F13" s="349" t="s">
        <v>149</v>
      </c>
      <c r="G13" s="349" t="s">
        <v>149</v>
      </c>
      <c r="H13" s="404">
        <v>49.5</v>
      </c>
      <c r="I13" s="349" t="s">
        <v>149</v>
      </c>
      <c r="J13" s="349" t="s">
        <v>149</v>
      </c>
      <c r="K13" s="349" t="s">
        <v>149</v>
      </c>
      <c r="L13" s="349" t="s">
        <v>149</v>
      </c>
      <c r="M13" s="406">
        <v>51.2</v>
      </c>
      <c r="N13" s="406">
        <v>51.4</v>
      </c>
      <c r="O13" s="406">
        <v>51.7</v>
      </c>
      <c r="P13" s="406">
        <v>50.6</v>
      </c>
      <c r="Q13" s="406">
        <v>51.8</v>
      </c>
      <c r="R13" s="406">
        <v>50.8</v>
      </c>
      <c r="S13" s="407">
        <v>51.9</v>
      </c>
      <c r="T13" s="349" t="s">
        <v>149</v>
      </c>
      <c r="U13" s="349" t="s">
        <v>149</v>
      </c>
      <c r="V13" s="407">
        <v>50.9</v>
      </c>
      <c r="W13" s="407">
        <v>51.2</v>
      </c>
      <c r="X13" s="407">
        <v>51.45</v>
      </c>
    </row>
    <row r="14" spans="1:24" ht="15.75" customHeight="1">
      <c r="A14" s="9" t="s">
        <v>363</v>
      </c>
      <c r="B14" s="349" t="s">
        <v>149</v>
      </c>
      <c r="C14" s="349" t="s">
        <v>149</v>
      </c>
      <c r="D14" s="349" t="s">
        <v>149</v>
      </c>
      <c r="E14" s="349" t="s">
        <v>149</v>
      </c>
      <c r="F14" s="349" t="s">
        <v>149</v>
      </c>
      <c r="G14" s="349" t="s">
        <v>149</v>
      </c>
      <c r="H14" s="349" t="s">
        <v>149</v>
      </c>
      <c r="I14" s="349" t="s">
        <v>149</v>
      </c>
      <c r="J14" s="349" t="s">
        <v>149</v>
      </c>
      <c r="K14" s="349" t="s">
        <v>149</v>
      </c>
      <c r="L14" s="349" t="s">
        <v>149</v>
      </c>
      <c r="M14" s="349" t="s">
        <v>149</v>
      </c>
      <c r="N14" s="349" t="s">
        <v>149</v>
      </c>
      <c r="O14" s="349" t="s">
        <v>149</v>
      </c>
      <c r="P14" s="349" t="s">
        <v>149</v>
      </c>
      <c r="Q14" s="349" t="s">
        <v>149</v>
      </c>
      <c r="R14" s="349" t="s">
        <v>149</v>
      </c>
      <c r="S14" s="349" t="s">
        <v>149</v>
      </c>
      <c r="T14" s="349" t="s">
        <v>149</v>
      </c>
      <c r="U14" s="349" t="s">
        <v>149</v>
      </c>
      <c r="V14" s="349" t="s">
        <v>149</v>
      </c>
      <c r="W14" s="349" t="s">
        <v>149</v>
      </c>
      <c r="X14" s="349" t="s">
        <v>149</v>
      </c>
    </row>
    <row r="15" spans="1:24" ht="15.75" customHeight="1">
      <c r="A15" s="9" t="s">
        <v>8</v>
      </c>
      <c r="B15" s="349">
        <v>34.708941542106622</v>
      </c>
      <c r="C15" s="349">
        <v>34.738171123331526</v>
      </c>
      <c r="D15" s="349">
        <v>34.782599131782334</v>
      </c>
      <c r="E15" s="349">
        <v>35.154300992868706</v>
      </c>
      <c r="F15" s="349">
        <v>35.223308120339617</v>
      </c>
      <c r="G15" s="349">
        <v>35.3274773768294</v>
      </c>
      <c r="H15" s="404">
        <v>35.4</v>
      </c>
      <c r="I15" s="349">
        <v>35.531642798912813</v>
      </c>
      <c r="J15" s="349">
        <v>35.803597915548124</v>
      </c>
      <c r="K15" s="349">
        <v>36.125567694677969</v>
      </c>
      <c r="L15" s="349">
        <v>36.54005914148167</v>
      </c>
      <c r="M15" s="349">
        <v>36.98114393408364</v>
      </c>
      <c r="N15" s="349">
        <v>37.403860327626596</v>
      </c>
      <c r="O15" s="349">
        <v>37.900606040481776</v>
      </c>
      <c r="P15" s="406">
        <v>38.498035001902394</v>
      </c>
      <c r="Q15" s="406">
        <v>38.946640000000002</v>
      </c>
      <c r="R15" s="406">
        <v>39.371683927791423</v>
      </c>
      <c r="S15" s="406">
        <v>39.679369045619296</v>
      </c>
      <c r="T15" s="406">
        <v>40.021076161506507</v>
      </c>
      <c r="U15" s="406">
        <v>40.436355189204001</v>
      </c>
      <c r="V15" s="406">
        <v>40.762689168186029</v>
      </c>
      <c r="W15" s="406">
        <v>41.017266863753164</v>
      </c>
      <c r="X15" s="406">
        <v>41.273661938174278</v>
      </c>
    </row>
    <row r="16" spans="1:24" ht="15.75" customHeight="1">
      <c r="A16" s="9" t="s">
        <v>82</v>
      </c>
      <c r="B16" s="349">
        <v>40.207900357926334</v>
      </c>
      <c r="C16" s="349">
        <v>40.703286111468636</v>
      </c>
      <c r="D16" s="349">
        <v>40.628833249152173</v>
      </c>
      <c r="E16" s="349">
        <v>40.13909712158609</v>
      </c>
      <c r="F16" s="349">
        <v>40.089001058669716</v>
      </c>
      <c r="G16" s="349">
        <v>39.511711620554046</v>
      </c>
      <c r="H16" s="404">
        <v>40.1</v>
      </c>
      <c r="I16" s="404">
        <v>40.385923399362291</v>
      </c>
      <c r="J16" s="349">
        <v>40.716685481516727</v>
      </c>
      <c r="K16" s="349">
        <v>40.866460573866853</v>
      </c>
      <c r="L16" s="349">
        <v>41.112988724524357</v>
      </c>
      <c r="M16" s="349">
        <v>41.381375261375595</v>
      </c>
      <c r="N16" s="349">
        <v>41.685646147454378</v>
      </c>
      <c r="O16" s="349">
        <f>0.419605321317192*100</f>
        <v>41.960532131719205</v>
      </c>
      <c r="P16" s="406">
        <v>42.12882909398612</v>
      </c>
      <c r="Q16" s="406">
        <v>42.409425405805102</v>
      </c>
      <c r="R16" s="406">
        <v>43.086302810820435</v>
      </c>
      <c r="S16" s="406">
        <v>42.949982475356506</v>
      </c>
      <c r="T16" s="406">
        <v>43.511093034679973</v>
      </c>
      <c r="U16" s="406">
        <v>43.933646456039298</v>
      </c>
      <c r="V16" s="406">
        <v>44.194465198084004</v>
      </c>
      <c r="W16" s="406">
        <v>44.4252083614724</v>
      </c>
      <c r="X16" s="406">
        <v>55.3</v>
      </c>
    </row>
    <row r="17" spans="1:24" ht="15.75" customHeight="1">
      <c r="A17" s="9" t="s">
        <v>9</v>
      </c>
      <c r="B17" s="349">
        <v>41.81</v>
      </c>
      <c r="C17" s="349">
        <v>41.87</v>
      </c>
      <c r="D17" s="349">
        <v>41.7</v>
      </c>
      <c r="E17" s="349">
        <v>41.460116609127148</v>
      </c>
      <c r="F17" s="349">
        <v>41.46945642594828</v>
      </c>
      <c r="G17" s="349">
        <v>41.754746450183802</v>
      </c>
      <c r="H17" s="404">
        <v>42.3</v>
      </c>
      <c r="I17" s="404">
        <v>43.171830438489025</v>
      </c>
      <c r="J17" s="349" t="s">
        <v>149</v>
      </c>
      <c r="K17" s="408">
        <v>43.9</v>
      </c>
      <c r="L17" s="408">
        <v>43.129496848848021</v>
      </c>
      <c r="M17" s="408">
        <v>44.361949471785131</v>
      </c>
      <c r="N17" s="409">
        <v>44.539127768835748</v>
      </c>
      <c r="O17" s="408">
        <v>44.632972008832652</v>
      </c>
      <c r="P17" s="408">
        <v>45.09</v>
      </c>
      <c r="Q17" s="408">
        <v>44.9</v>
      </c>
      <c r="R17" s="408">
        <v>45.389365142801182</v>
      </c>
      <c r="S17" s="410">
        <v>45.14</v>
      </c>
      <c r="T17" s="410">
        <v>45.414871721393247</v>
      </c>
      <c r="U17" s="410">
        <v>45.51</v>
      </c>
      <c r="V17" s="410">
        <v>45.58</v>
      </c>
      <c r="W17" s="410">
        <v>45.957760080116358</v>
      </c>
      <c r="X17" s="410">
        <v>45.988167611378039</v>
      </c>
    </row>
    <row r="18" spans="1:24" ht="5.0999999999999996" customHeight="1">
      <c r="A18" s="9"/>
      <c r="B18" s="401"/>
      <c r="C18" s="401"/>
      <c r="D18" s="401"/>
      <c r="E18" s="401"/>
      <c r="F18" s="401"/>
      <c r="G18" s="401"/>
      <c r="H18" s="406"/>
      <c r="I18" s="406"/>
      <c r="J18" s="405"/>
      <c r="K18" s="405"/>
      <c r="L18" s="405"/>
      <c r="M18" s="405"/>
      <c r="N18" s="405"/>
      <c r="O18" s="405"/>
      <c r="P18" s="405"/>
      <c r="Q18" s="405"/>
      <c r="R18" s="405"/>
      <c r="S18" s="405"/>
    </row>
    <row r="19" spans="1:24" ht="15.75" customHeight="1">
      <c r="A19" s="85" t="s">
        <v>10</v>
      </c>
      <c r="B19" s="402">
        <v>37.409774405655781</v>
      </c>
      <c r="C19" s="402">
        <v>37.692415823103069</v>
      </c>
      <c r="D19" s="402">
        <v>37.820401201695596</v>
      </c>
      <c r="E19" s="402">
        <v>38.04795144685739</v>
      </c>
      <c r="F19" s="402">
        <v>38.390258477053798</v>
      </c>
      <c r="G19" s="402">
        <v>39.224825853960951</v>
      </c>
      <c r="H19" s="411">
        <v>39.200000000000003</v>
      </c>
      <c r="I19" s="411">
        <v>40.281967115361745</v>
      </c>
      <c r="J19" s="411"/>
      <c r="K19" s="411"/>
      <c r="L19" s="411"/>
      <c r="M19" s="411"/>
      <c r="N19" s="411"/>
      <c r="O19" s="411"/>
      <c r="P19" s="411"/>
      <c r="Q19" s="411"/>
      <c r="R19" s="411"/>
      <c r="S19" s="411"/>
      <c r="T19" s="411"/>
      <c r="U19" s="411"/>
      <c r="V19" s="411"/>
      <c r="W19" s="411"/>
      <c r="X19" s="411"/>
    </row>
    <row r="20" spans="1:24" ht="15.75" customHeight="1">
      <c r="A20" s="29" t="s">
        <v>397</v>
      </c>
      <c r="B20" s="412"/>
      <c r="C20" s="412"/>
      <c r="D20" s="412"/>
      <c r="E20" s="412"/>
      <c r="F20" s="405"/>
      <c r="G20" s="405"/>
      <c r="H20" s="405"/>
      <c r="I20" s="405"/>
      <c r="J20" s="405"/>
      <c r="K20" s="405"/>
      <c r="L20" s="405"/>
      <c r="M20" s="405"/>
      <c r="N20" s="405"/>
      <c r="O20" s="405"/>
      <c r="P20" s="405"/>
      <c r="Q20" s="405"/>
      <c r="R20" s="405"/>
      <c r="S20" s="405"/>
    </row>
    <row r="21" spans="1:24" ht="15" customHeight="1">
      <c r="A21" s="89" t="s">
        <v>396</v>
      </c>
      <c r="B21" s="89"/>
      <c r="C21" s="89"/>
      <c r="D21" s="89"/>
      <c r="E21" s="89"/>
      <c r="F21" s="89"/>
    </row>
    <row r="22" spans="1:24">
      <c r="A22" s="89"/>
      <c r="B22" s="89"/>
      <c r="C22" s="89"/>
      <c r="D22" s="89"/>
      <c r="E22" s="89"/>
      <c r="F22" s="89"/>
    </row>
    <row r="23" spans="1:24">
      <c r="A23" s="89"/>
      <c r="B23" s="89"/>
      <c r="C23" s="89"/>
      <c r="D23" s="89"/>
      <c r="E23" s="89"/>
      <c r="F23" s="89"/>
    </row>
  </sheetData>
  <phoneticPr fontId="9" type="noConversion"/>
  <pageMargins left="0.74803149606299213" right="0.74803149606299213" top="0.98425196850393704" bottom="0.98425196850393704" header="0.51181102362204722" footer="0.51181102362204722"/>
  <pageSetup scale="76" orientation="landscape" r:id="rId1"/>
  <headerFooter alignWithMargins="0">
    <oddHeader>&amp;A</oddHeader>
    <oddFooter>&amp;L&amp;F&amp;R&amp;D</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X32"/>
  <sheetViews>
    <sheetView showGridLines="0" zoomScale="90" zoomScaleNormal="90" workbookViewId="0"/>
  </sheetViews>
  <sheetFormatPr baseColWidth="10" defaultRowHeight="15"/>
  <cols>
    <col min="1" max="1" width="12.625" style="320" customWidth="1"/>
    <col min="2" max="16" width="10.875" style="13" bestFit="1" customWidth="1"/>
    <col min="17" max="18" width="10.25" style="13" customWidth="1"/>
    <col min="19" max="16384" width="11" style="13"/>
  </cols>
  <sheetData>
    <row r="1" spans="1:24" ht="15.75" customHeight="1">
      <c r="A1" s="314" t="s">
        <v>302</v>
      </c>
      <c r="B1" s="75"/>
      <c r="C1" s="75"/>
      <c r="D1" s="75"/>
      <c r="E1" s="75"/>
      <c r="G1" s="75"/>
    </row>
    <row r="2" spans="1:24" ht="15.75" customHeight="1">
      <c r="A2" s="315" t="s">
        <v>16</v>
      </c>
      <c r="B2" s="75"/>
      <c r="C2" s="75"/>
      <c r="D2" s="75"/>
      <c r="E2" s="75"/>
      <c r="G2" s="75"/>
    </row>
    <row r="3" spans="1:24" ht="6" customHeight="1">
      <c r="A3" s="315"/>
      <c r="B3" s="75"/>
      <c r="C3" s="75"/>
      <c r="D3" s="75"/>
      <c r="E3" s="75"/>
      <c r="G3" s="75"/>
    </row>
    <row r="4" spans="1:24" s="76" customFormat="1" ht="33" customHeight="1">
      <c r="A4" s="316" t="s">
        <v>0</v>
      </c>
      <c r="B4" s="77" t="s">
        <v>121</v>
      </c>
      <c r="C4" s="77" t="s">
        <v>119</v>
      </c>
      <c r="D4" s="77" t="s">
        <v>124</v>
      </c>
      <c r="E4" s="77" t="s">
        <v>141</v>
      </c>
      <c r="F4" s="77" t="s">
        <v>160</v>
      </c>
      <c r="G4" s="77" t="s">
        <v>177</v>
      </c>
      <c r="H4" s="317" t="s">
        <v>186</v>
      </c>
      <c r="I4" s="317" t="s">
        <v>188</v>
      </c>
      <c r="J4" s="317" t="s">
        <v>199</v>
      </c>
      <c r="K4" s="317" t="s">
        <v>200</v>
      </c>
      <c r="L4" s="317" t="s">
        <v>201</v>
      </c>
      <c r="M4" s="317" t="s">
        <v>202</v>
      </c>
      <c r="N4" s="317" t="s">
        <v>354</v>
      </c>
      <c r="O4" s="317" t="s">
        <v>371</v>
      </c>
      <c r="P4" s="317" t="s">
        <v>383</v>
      </c>
      <c r="Q4" s="317" t="s">
        <v>401</v>
      </c>
      <c r="R4" s="317" t="s">
        <v>440</v>
      </c>
      <c r="S4" s="317" t="s">
        <v>465</v>
      </c>
      <c r="T4" s="317" t="s">
        <v>477</v>
      </c>
      <c r="U4" s="317" t="s">
        <v>488</v>
      </c>
      <c r="V4" s="317" t="s">
        <v>499</v>
      </c>
      <c r="W4" s="317" t="s">
        <v>518</v>
      </c>
      <c r="X4" s="317" t="s">
        <v>530</v>
      </c>
    </row>
    <row r="5" spans="1:24" ht="15.75" customHeight="1">
      <c r="A5" s="318" t="s">
        <v>2</v>
      </c>
      <c r="B5" s="124">
        <v>3331437</v>
      </c>
      <c r="C5" s="124">
        <v>3541146</v>
      </c>
      <c r="D5" s="124">
        <v>4283242</v>
      </c>
      <c r="E5" s="124">
        <v>4563768</v>
      </c>
      <c r="F5" s="124">
        <v>4391847</v>
      </c>
      <c r="G5" s="110"/>
      <c r="H5" s="80"/>
      <c r="I5" s="80"/>
      <c r="J5" s="80"/>
      <c r="K5" s="80"/>
      <c r="L5" s="80"/>
      <c r="M5" s="80"/>
      <c r="N5" s="80"/>
      <c r="O5" s="80"/>
      <c r="P5" s="80"/>
      <c r="Q5" s="80"/>
      <c r="R5" s="80"/>
      <c r="S5" s="80"/>
      <c r="T5" s="80"/>
      <c r="U5" s="80"/>
      <c r="V5" s="80"/>
      <c r="W5" s="80"/>
      <c r="X5" s="80"/>
    </row>
    <row r="6" spans="1:24" ht="15.75" customHeight="1">
      <c r="A6" s="318" t="s">
        <v>3</v>
      </c>
      <c r="B6" s="124">
        <v>329961</v>
      </c>
      <c r="C6" s="124">
        <v>394504</v>
      </c>
      <c r="D6" s="124">
        <v>443656</v>
      </c>
      <c r="E6" s="124">
        <v>495396</v>
      </c>
      <c r="F6" s="124">
        <v>509842</v>
      </c>
      <c r="G6" s="124">
        <v>502975</v>
      </c>
      <c r="H6" s="124">
        <v>545608</v>
      </c>
      <c r="I6" s="110"/>
      <c r="J6" s="80"/>
      <c r="K6" s="80"/>
      <c r="L6" s="80"/>
      <c r="M6" s="80"/>
      <c r="N6" s="80"/>
      <c r="O6" s="80"/>
      <c r="P6" s="80"/>
      <c r="Q6" s="80"/>
      <c r="R6" s="80"/>
      <c r="S6" s="80"/>
      <c r="T6" s="80"/>
      <c r="U6" s="80"/>
      <c r="V6" s="80"/>
      <c r="W6" s="80"/>
      <c r="X6" s="80"/>
    </row>
    <row r="7" spans="1:24" ht="15.75" customHeight="1">
      <c r="A7" s="318" t="s">
        <v>4</v>
      </c>
      <c r="B7" s="124">
        <v>3618995</v>
      </c>
      <c r="C7" s="124">
        <v>3571864</v>
      </c>
      <c r="D7" s="124">
        <v>3784141</v>
      </c>
      <c r="E7" s="124">
        <v>3956992</v>
      </c>
      <c r="F7" s="124">
        <v>4329412</v>
      </c>
      <c r="G7" s="124">
        <v>4572327</v>
      </c>
      <c r="H7" s="124">
        <v>4428773</v>
      </c>
      <c r="I7" s="124">
        <v>4773090</v>
      </c>
      <c r="J7" s="124">
        <v>5008158</v>
      </c>
      <c r="K7" s="125">
        <v>5236146</v>
      </c>
      <c r="L7" s="125">
        <v>5339165</v>
      </c>
      <c r="M7" s="125">
        <v>5479938</v>
      </c>
      <c r="N7" s="125">
        <v>5583524</v>
      </c>
      <c r="O7" s="125">
        <v>5691314</v>
      </c>
      <c r="P7" s="125">
        <v>5762689</v>
      </c>
      <c r="Q7" s="69">
        <v>5970249</v>
      </c>
      <c r="R7" s="413">
        <v>6087939</v>
      </c>
      <c r="S7" s="413">
        <v>5967228</v>
      </c>
      <c r="T7" s="413">
        <v>6436330</v>
      </c>
      <c r="U7" s="413">
        <v>6492490</v>
      </c>
      <c r="V7" s="413">
        <v>6273359</v>
      </c>
      <c r="W7" s="413">
        <v>6443910</v>
      </c>
      <c r="X7" s="413">
        <v>6529428</v>
      </c>
    </row>
    <row r="8" spans="1:24" ht="15.75" customHeight="1">
      <c r="A8" s="318" t="s">
        <v>5</v>
      </c>
      <c r="B8" s="124">
        <v>2538688</v>
      </c>
      <c r="C8" s="124">
        <v>2240698</v>
      </c>
      <c r="D8" s="124">
        <v>2458094</v>
      </c>
      <c r="E8" s="124">
        <v>2943940</v>
      </c>
      <c r="F8" s="124">
        <v>3522056</v>
      </c>
      <c r="G8" s="124">
        <v>3840103</v>
      </c>
      <c r="H8" s="124">
        <v>3987104</v>
      </c>
      <c r="I8" s="125">
        <v>4282424</v>
      </c>
      <c r="J8" s="125">
        <v>4309369</v>
      </c>
      <c r="K8" s="125">
        <v>4398807</v>
      </c>
      <c r="L8" s="125">
        <v>4557114</v>
      </c>
      <c r="M8" s="125">
        <v>5269087</v>
      </c>
      <c r="N8" s="419">
        <v>5097186</v>
      </c>
      <c r="O8" s="125">
        <v>4639767</v>
      </c>
      <c r="P8" s="125">
        <v>5332021</v>
      </c>
      <c r="Q8" s="73" t="s">
        <v>149</v>
      </c>
      <c r="R8" s="73" t="s">
        <v>149</v>
      </c>
      <c r="S8" s="73" t="s">
        <v>149</v>
      </c>
      <c r="T8" s="413">
        <v>6946557</v>
      </c>
      <c r="U8" s="413">
        <v>7435891</v>
      </c>
      <c r="V8" s="413">
        <v>7653255</v>
      </c>
      <c r="W8" s="413">
        <v>7585300</v>
      </c>
      <c r="X8" s="413">
        <v>7780127</v>
      </c>
    </row>
    <row r="9" spans="1:24" ht="15.75" customHeight="1">
      <c r="A9" s="318" t="s">
        <v>50</v>
      </c>
      <c r="B9" s="125">
        <v>833191</v>
      </c>
      <c r="C9" s="125">
        <v>868005</v>
      </c>
      <c r="D9" s="125">
        <v>815236</v>
      </c>
      <c r="E9" s="125">
        <v>652305</v>
      </c>
      <c r="F9" s="125">
        <v>743726</v>
      </c>
      <c r="G9" s="125">
        <v>874372</v>
      </c>
      <c r="H9" s="125">
        <v>875712</v>
      </c>
      <c r="I9" s="126">
        <v>833634</v>
      </c>
      <c r="J9" s="126">
        <v>916452</v>
      </c>
      <c r="K9" s="126">
        <v>923906</v>
      </c>
      <c r="L9" s="126">
        <v>979409</v>
      </c>
      <c r="M9" s="126">
        <v>1007882</v>
      </c>
      <c r="N9" s="127">
        <v>1028855</v>
      </c>
      <c r="O9" s="126">
        <v>1066939</v>
      </c>
      <c r="P9" s="126">
        <v>1088432</v>
      </c>
      <c r="Q9" s="415">
        <v>1102625</v>
      </c>
      <c r="R9" s="413">
        <v>1128492</v>
      </c>
      <c r="S9" s="413">
        <v>1167647</v>
      </c>
      <c r="T9" s="413">
        <v>1230596</v>
      </c>
      <c r="U9" s="413">
        <v>1283047</v>
      </c>
      <c r="V9" s="413">
        <v>1312025</v>
      </c>
      <c r="W9" s="413">
        <v>1364845</v>
      </c>
      <c r="X9" s="413">
        <v>1411888</v>
      </c>
    </row>
    <row r="10" spans="1:24" ht="15.75" customHeight="1">
      <c r="A10" s="318" t="s">
        <v>6</v>
      </c>
      <c r="B10" s="124">
        <v>491967</v>
      </c>
      <c r="C10" s="124">
        <v>489328</v>
      </c>
      <c r="D10" s="124">
        <v>505637</v>
      </c>
      <c r="E10" s="124">
        <v>538370</v>
      </c>
      <c r="F10" s="124">
        <v>566693</v>
      </c>
      <c r="G10" s="124">
        <v>575022</v>
      </c>
      <c r="H10" s="124">
        <v>548333</v>
      </c>
      <c r="I10" s="124">
        <v>576050</v>
      </c>
      <c r="J10" s="124">
        <v>602382</v>
      </c>
      <c r="K10" s="124">
        <v>625677</v>
      </c>
      <c r="L10" s="124">
        <v>656666</v>
      </c>
      <c r="M10" s="124">
        <v>660117</v>
      </c>
      <c r="N10" s="419">
        <v>689681</v>
      </c>
      <c r="O10" s="126">
        <v>711714</v>
      </c>
      <c r="P10" s="126">
        <v>711758</v>
      </c>
      <c r="Q10" s="414">
        <v>727273</v>
      </c>
      <c r="R10" s="125">
        <v>734819</v>
      </c>
      <c r="S10" s="125">
        <v>719388</v>
      </c>
      <c r="T10" s="125">
        <v>798057</v>
      </c>
      <c r="U10" s="73" t="s">
        <v>149</v>
      </c>
      <c r="V10" s="73" t="s">
        <v>149</v>
      </c>
      <c r="W10" s="73" t="s">
        <v>149</v>
      </c>
      <c r="X10" s="73" t="s">
        <v>149</v>
      </c>
    </row>
    <row r="11" spans="1:24" ht="15.75" customHeight="1">
      <c r="A11" s="318" t="s">
        <v>7</v>
      </c>
      <c r="B11" s="124">
        <v>12352300.598122509</v>
      </c>
      <c r="C11" s="124">
        <v>12920808.814392174</v>
      </c>
      <c r="D11" s="124">
        <v>13254438.276329665</v>
      </c>
      <c r="E11" s="124">
        <v>13764094.445185734</v>
      </c>
      <c r="F11" s="124">
        <v>14710107</v>
      </c>
      <c r="G11" s="124">
        <v>14169964</v>
      </c>
      <c r="H11" s="124">
        <v>13286453</v>
      </c>
      <c r="I11" s="124">
        <v>13760042</v>
      </c>
      <c r="J11" s="125">
        <v>14248815</v>
      </c>
      <c r="K11" s="125">
        <v>14530163</v>
      </c>
      <c r="L11" s="125">
        <v>14760925</v>
      </c>
      <c r="M11" s="125">
        <v>15777404</v>
      </c>
      <c r="N11" s="127">
        <v>16259966</v>
      </c>
      <c r="O11" s="125">
        <v>18276665</v>
      </c>
      <c r="P11" s="125">
        <v>19097621</v>
      </c>
      <c r="Q11" s="69">
        <v>17675520</v>
      </c>
      <c r="R11" s="64">
        <v>20708694</v>
      </c>
      <c r="S11" s="64">
        <v>19028517</v>
      </c>
      <c r="T11" s="64">
        <v>20188033</v>
      </c>
      <c r="U11" s="450">
        <v>22264862</v>
      </c>
      <c r="V11" s="450">
        <v>21664725</v>
      </c>
      <c r="W11" s="450">
        <v>23028313</v>
      </c>
      <c r="X11" s="450">
        <v>22994891</v>
      </c>
    </row>
    <row r="12" spans="1:24" ht="15.75" customHeight="1">
      <c r="A12" s="318" t="s">
        <v>369</v>
      </c>
      <c r="B12" s="73" t="s">
        <v>149</v>
      </c>
      <c r="C12" s="73" t="s">
        <v>149</v>
      </c>
      <c r="D12" s="73" t="s">
        <v>149</v>
      </c>
      <c r="E12" s="73" t="s">
        <v>149</v>
      </c>
      <c r="F12" s="73" t="s">
        <v>149</v>
      </c>
      <c r="G12" s="73" t="s">
        <v>149</v>
      </c>
      <c r="H12" s="124">
        <v>41771</v>
      </c>
      <c r="I12" s="73" t="s">
        <v>149</v>
      </c>
      <c r="J12" s="73" t="s">
        <v>149</v>
      </c>
      <c r="K12" s="73" t="s">
        <v>149</v>
      </c>
      <c r="L12" s="73" t="s">
        <v>149</v>
      </c>
      <c r="M12" s="126">
        <f>19085+17046</f>
        <v>36131</v>
      </c>
      <c r="N12" s="126">
        <f>21345+18609</f>
        <v>39954</v>
      </c>
      <c r="O12" s="126">
        <v>43473</v>
      </c>
      <c r="P12" s="126">
        <v>46147</v>
      </c>
      <c r="Q12" s="69" t="s">
        <v>462</v>
      </c>
      <c r="R12" s="64">
        <v>163020</v>
      </c>
      <c r="S12" s="420">
        <v>50333</v>
      </c>
      <c r="T12" s="420">
        <v>53711</v>
      </c>
      <c r="U12" s="420">
        <v>53878</v>
      </c>
      <c r="V12" s="420">
        <v>58504</v>
      </c>
      <c r="W12" s="420">
        <v>60151</v>
      </c>
      <c r="X12" s="420">
        <v>68363</v>
      </c>
    </row>
    <row r="13" spans="1:24" ht="15.75" customHeight="1">
      <c r="A13" s="318" t="s">
        <v>363</v>
      </c>
      <c r="B13" s="73" t="s">
        <v>149</v>
      </c>
      <c r="C13" s="73" t="s">
        <v>149</v>
      </c>
      <c r="D13" s="73" t="s">
        <v>149</v>
      </c>
      <c r="E13" s="73" t="s">
        <v>149</v>
      </c>
      <c r="F13" s="73" t="s">
        <v>149</v>
      </c>
      <c r="G13" s="73" t="s">
        <v>149</v>
      </c>
      <c r="H13" s="73" t="s">
        <v>149</v>
      </c>
      <c r="I13" s="73" t="s">
        <v>149</v>
      </c>
      <c r="J13" s="73" t="s">
        <v>149</v>
      </c>
      <c r="K13" s="73" t="s">
        <v>149</v>
      </c>
      <c r="L13" s="73" t="s">
        <v>149</v>
      </c>
      <c r="M13" s="73" t="s">
        <v>149</v>
      </c>
      <c r="N13" s="126">
        <v>120200</v>
      </c>
      <c r="O13" s="126">
        <v>136045</v>
      </c>
      <c r="P13" s="126">
        <v>146829</v>
      </c>
      <c r="Q13" s="106">
        <v>155165</v>
      </c>
      <c r="R13" s="106">
        <v>163020</v>
      </c>
      <c r="S13" s="106">
        <v>174480</v>
      </c>
      <c r="T13" s="106">
        <v>175030</v>
      </c>
      <c r="U13" s="106">
        <v>184015</v>
      </c>
      <c r="V13" s="106">
        <v>177801</v>
      </c>
      <c r="W13" s="106">
        <v>574013</v>
      </c>
      <c r="X13" s="106">
        <v>607455</v>
      </c>
    </row>
    <row r="14" spans="1:24" ht="15.75" customHeight="1">
      <c r="A14" s="318" t="s">
        <v>8</v>
      </c>
      <c r="B14" s="124">
        <v>1336383</v>
      </c>
      <c r="C14" s="124">
        <v>1356775</v>
      </c>
      <c r="D14" s="124">
        <v>1318135</v>
      </c>
      <c r="E14" s="124">
        <v>1350775</v>
      </c>
      <c r="F14" s="124">
        <v>1698782</v>
      </c>
      <c r="G14" s="124">
        <v>1677221</v>
      </c>
      <c r="H14" s="124">
        <v>1891822</v>
      </c>
      <c r="I14" s="124">
        <v>2006736</v>
      </c>
      <c r="J14" s="124">
        <v>2141108</v>
      </c>
      <c r="K14" s="124">
        <v>2495000</v>
      </c>
      <c r="L14" s="124">
        <v>2519323</v>
      </c>
      <c r="M14" s="124">
        <v>2520555</v>
      </c>
      <c r="N14" s="124">
        <v>2588507</v>
      </c>
      <c r="O14" s="124">
        <v>2593423</v>
      </c>
      <c r="P14" s="124">
        <v>2976190</v>
      </c>
      <c r="Q14" s="415">
        <v>3014980</v>
      </c>
      <c r="R14" s="413">
        <v>3268371</v>
      </c>
      <c r="S14" s="413">
        <v>3039264</v>
      </c>
      <c r="T14" s="413">
        <v>3311032</v>
      </c>
      <c r="U14" s="413">
        <v>3597532</v>
      </c>
      <c r="V14" s="413">
        <v>3910332</v>
      </c>
      <c r="W14" s="413">
        <v>4216988</v>
      </c>
      <c r="X14" s="413">
        <v>4346315</v>
      </c>
    </row>
    <row r="15" spans="1:24" ht="15.75" customHeight="1">
      <c r="A15" s="318" t="s">
        <v>82</v>
      </c>
      <c r="B15" s="124">
        <v>544294</v>
      </c>
      <c r="C15" s="124">
        <v>552512</v>
      </c>
      <c r="D15" s="124">
        <v>601554</v>
      </c>
      <c r="E15" s="124">
        <v>755436</v>
      </c>
      <c r="F15" s="124">
        <v>853526</v>
      </c>
      <c r="G15" s="124">
        <v>884783</v>
      </c>
      <c r="H15" s="124">
        <v>994972</v>
      </c>
      <c r="I15" s="124">
        <v>1066573</v>
      </c>
      <c r="J15" s="124">
        <v>1097278</v>
      </c>
      <c r="K15" s="124">
        <v>1168848</v>
      </c>
      <c r="L15" s="124">
        <v>1252585</v>
      </c>
      <c r="M15" s="124">
        <v>1373332</v>
      </c>
      <c r="N15" s="416">
        <v>1476087</v>
      </c>
      <c r="O15" s="416">
        <v>1565521</v>
      </c>
      <c r="P15" s="417">
        <v>1657712</v>
      </c>
      <c r="Q15" s="418">
        <v>1755345</v>
      </c>
      <c r="R15" s="106">
        <v>1775412</v>
      </c>
      <c r="S15" s="106">
        <v>1603485</v>
      </c>
      <c r="T15" s="106">
        <v>1972032</v>
      </c>
      <c r="U15" s="106">
        <v>1857307</v>
      </c>
      <c r="V15" s="106">
        <v>1970144</v>
      </c>
      <c r="W15" s="106">
        <v>2045822</v>
      </c>
      <c r="X15" s="106">
        <v>2133109</v>
      </c>
    </row>
    <row r="16" spans="1:24" ht="15.75" customHeight="1">
      <c r="A16" s="318" t="s">
        <v>9</v>
      </c>
      <c r="B16" s="124">
        <v>335316</v>
      </c>
      <c r="C16" s="124">
        <v>346240</v>
      </c>
      <c r="D16" s="124">
        <v>382410</v>
      </c>
      <c r="E16" s="124">
        <v>415783</v>
      </c>
      <c r="F16" s="124">
        <v>453272</v>
      </c>
      <c r="G16" s="124">
        <v>509878</v>
      </c>
      <c r="H16" s="124">
        <v>560461</v>
      </c>
      <c r="I16" s="124">
        <v>597195</v>
      </c>
      <c r="K16" s="125">
        <v>725073</v>
      </c>
      <c r="L16" s="124">
        <v>763486</v>
      </c>
      <c r="M16" s="124">
        <v>782556</v>
      </c>
      <c r="N16" s="416">
        <v>720152</v>
      </c>
      <c r="O16" s="124">
        <v>797161</v>
      </c>
      <c r="P16" s="124">
        <v>813969</v>
      </c>
      <c r="Q16" s="414">
        <v>829524</v>
      </c>
      <c r="R16" s="20">
        <v>831907</v>
      </c>
      <c r="S16" s="421">
        <v>819024</v>
      </c>
      <c r="T16" s="421">
        <v>850764</v>
      </c>
      <c r="U16" s="421">
        <v>937205</v>
      </c>
      <c r="V16" s="421">
        <v>904867</v>
      </c>
      <c r="W16" s="421">
        <v>937646</v>
      </c>
      <c r="X16" s="421">
        <v>960941</v>
      </c>
    </row>
    <row r="17" spans="1:24" s="84" customFormat="1" ht="15.75" customHeight="1">
      <c r="A17" s="319" t="s">
        <v>10</v>
      </c>
      <c r="B17" s="86">
        <v>25718532.598122507</v>
      </c>
      <c r="C17" s="86">
        <v>26281880.814392172</v>
      </c>
      <c r="D17" s="86">
        <v>27964882.276329666</v>
      </c>
      <c r="E17" s="86">
        <v>29796407.445185736</v>
      </c>
      <c r="F17" s="86">
        <v>32161686</v>
      </c>
      <c r="G17" s="86">
        <v>28011018</v>
      </c>
      <c r="H17" s="86">
        <f t="shared" ref="H17:M17" si="0">SUM(H6:H16)</f>
        <v>27161009</v>
      </c>
      <c r="I17" s="86">
        <f t="shared" si="0"/>
        <v>27895744</v>
      </c>
      <c r="J17" s="86">
        <f t="shared" si="0"/>
        <v>28323562</v>
      </c>
      <c r="K17" s="86">
        <f t="shared" si="0"/>
        <v>30103620</v>
      </c>
      <c r="L17" s="86">
        <f t="shared" si="0"/>
        <v>30828673</v>
      </c>
      <c r="M17" s="86">
        <f t="shared" si="0"/>
        <v>32907002</v>
      </c>
      <c r="N17" s="86"/>
      <c r="O17" s="86"/>
      <c r="P17" s="86"/>
      <c r="Q17" s="86"/>
      <c r="R17" s="86"/>
      <c r="S17" s="86"/>
      <c r="T17" s="86"/>
      <c r="U17" s="86"/>
      <c r="V17" s="86"/>
      <c r="W17" s="86"/>
      <c r="X17" s="86"/>
    </row>
    <row r="18" spans="1:24" ht="6.75" customHeight="1">
      <c r="A18" s="318"/>
      <c r="B18" s="87"/>
      <c r="C18" s="87"/>
      <c r="D18" s="87"/>
      <c r="E18" s="87"/>
      <c r="G18" s="87"/>
    </row>
    <row r="19" spans="1:24" ht="24" customHeight="1">
      <c r="A19" s="693" t="s">
        <v>398</v>
      </c>
      <c r="B19" s="694"/>
      <c r="C19" s="694"/>
      <c r="D19" s="694"/>
      <c r="E19" s="694"/>
      <c r="F19" s="694"/>
      <c r="G19" s="694"/>
    </row>
    <row r="20" spans="1:24" ht="18.75" customHeight="1">
      <c r="A20" s="88" t="s">
        <v>396</v>
      </c>
      <c r="B20" s="49"/>
      <c r="C20" s="49"/>
      <c r="D20" s="49"/>
      <c r="E20" s="49"/>
      <c r="F20" s="49"/>
      <c r="G20" s="49"/>
    </row>
    <row r="21" spans="1:24" ht="14.1" customHeight="1">
      <c r="A21" s="357" t="s">
        <v>452</v>
      </c>
      <c r="B21" s="89"/>
      <c r="C21" s="89"/>
      <c r="D21" s="89"/>
      <c r="E21" s="89"/>
      <c r="F21" s="89"/>
    </row>
    <row r="22" spans="1:24" ht="14.1" customHeight="1">
      <c r="A22" s="89"/>
      <c r="B22" s="89"/>
      <c r="C22" s="89"/>
      <c r="D22" s="89"/>
      <c r="E22" s="89"/>
      <c r="F22" s="89"/>
    </row>
    <row r="27" spans="1:24">
      <c r="N27" s="124"/>
      <c r="P27" s="126"/>
      <c r="Q27" s="124"/>
      <c r="R27" s="126"/>
    </row>
    <row r="32" spans="1:24">
      <c r="F32" s="370"/>
      <c r="G32" s="371"/>
    </row>
  </sheetData>
  <mergeCells count="1">
    <mergeCell ref="A19:G19"/>
  </mergeCells>
  <phoneticPr fontId="9" type="noConversion"/>
  <pageMargins left="0.25" right="0.25" top="0.75" bottom="0.75" header="0.3" footer="0.3"/>
  <pageSetup scale="66" orientation="landscape" r:id="rId1"/>
  <headerFooter alignWithMargins="0">
    <oddHeader>&amp;A</oddHeader>
    <oddFooter>&amp;L&amp;F&amp;R&amp;D</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X30"/>
  <sheetViews>
    <sheetView showGridLines="0" zoomScale="90" zoomScaleNormal="90" workbookViewId="0"/>
  </sheetViews>
  <sheetFormatPr baseColWidth="10" defaultRowHeight="15"/>
  <cols>
    <col min="1" max="1" width="12.625" style="13" customWidth="1"/>
    <col min="2" max="8" width="10.375" style="13" bestFit="1" customWidth="1"/>
    <col min="9" max="16384" width="11" style="13"/>
  </cols>
  <sheetData>
    <row r="1" spans="1:24" ht="15.75" customHeight="1">
      <c r="A1" s="10" t="s">
        <v>308</v>
      </c>
      <c r="B1" s="75"/>
      <c r="C1" s="75"/>
      <c r="D1" s="75"/>
      <c r="E1" s="75"/>
      <c r="F1" s="75"/>
      <c r="G1" s="75"/>
    </row>
    <row r="2" spans="1:24" ht="15.75" customHeight="1">
      <c r="A2" s="12" t="s">
        <v>166</v>
      </c>
      <c r="B2" s="75"/>
      <c r="C2" s="75"/>
      <c r="D2" s="75"/>
      <c r="E2" s="75"/>
      <c r="F2" s="75"/>
      <c r="G2" s="75"/>
    </row>
    <row r="3" spans="1:24" ht="6" customHeight="1">
      <c r="A3" s="12"/>
      <c r="B3" s="75"/>
      <c r="C3" s="75"/>
      <c r="D3" s="75"/>
      <c r="E3" s="75"/>
      <c r="G3" s="75"/>
    </row>
    <row r="4" spans="1:24" s="76" customFormat="1" ht="31.5" customHeight="1">
      <c r="A4" s="27" t="s">
        <v>0</v>
      </c>
      <c r="B4" s="77" t="s">
        <v>121</v>
      </c>
      <c r="C4" s="77" t="s">
        <v>119</v>
      </c>
      <c r="D4" s="77" t="s">
        <v>124</v>
      </c>
      <c r="E4" s="77" t="s">
        <v>141</v>
      </c>
      <c r="F4" s="77" t="s">
        <v>160</v>
      </c>
      <c r="G4" s="77" t="s">
        <v>177</v>
      </c>
      <c r="H4" s="317" t="s">
        <v>186</v>
      </c>
      <c r="I4" s="317" t="s">
        <v>188</v>
      </c>
      <c r="J4" s="317" t="s">
        <v>199</v>
      </c>
      <c r="K4" s="317" t="s">
        <v>200</v>
      </c>
      <c r="L4" s="317" t="s">
        <v>201</v>
      </c>
      <c r="M4" s="317" t="s">
        <v>202</v>
      </c>
      <c r="N4" s="317" t="s">
        <v>354</v>
      </c>
      <c r="O4" s="317" t="s">
        <v>371</v>
      </c>
      <c r="P4" s="317" t="s">
        <v>383</v>
      </c>
      <c r="Q4" s="317" t="s">
        <v>401</v>
      </c>
      <c r="R4" s="317" t="s">
        <v>440</v>
      </c>
      <c r="S4" s="317" t="s">
        <v>465</v>
      </c>
      <c r="T4" s="317" t="s">
        <v>477</v>
      </c>
      <c r="U4" s="317" t="s">
        <v>488</v>
      </c>
      <c r="V4" s="317" t="s">
        <v>499</v>
      </c>
      <c r="W4" s="317" t="s">
        <v>518</v>
      </c>
      <c r="X4" s="317" t="s">
        <v>530</v>
      </c>
    </row>
    <row r="5" spans="1:24" s="76" customFormat="1" ht="5.0999999999999996" customHeight="1">
      <c r="A5" s="18"/>
      <c r="B5" s="18"/>
      <c r="C5" s="18"/>
      <c r="D5" s="18"/>
      <c r="E5" s="18"/>
      <c r="F5" s="18"/>
      <c r="G5" s="18"/>
      <c r="H5" s="144"/>
      <c r="I5" s="144"/>
      <c r="J5" s="144"/>
      <c r="K5" s="144"/>
      <c r="L5" s="144"/>
      <c r="M5" s="144"/>
      <c r="N5" s="144"/>
      <c r="O5" s="144"/>
      <c r="P5" s="144"/>
      <c r="Q5" s="144"/>
      <c r="R5" s="144"/>
      <c r="S5" s="144"/>
    </row>
    <row r="6" spans="1:24" ht="15.75" hidden="1" customHeight="1">
      <c r="A6" s="9" t="s">
        <v>2</v>
      </c>
      <c r="B6" s="78">
        <v>56.034514382142305</v>
      </c>
      <c r="C6" s="78">
        <v>58.30028249402114</v>
      </c>
      <c r="D6" s="78">
        <v>60.83590820567224</v>
      </c>
      <c r="E6" s="78">
        <v>63.70428455913558</v>
      </c>
      <c r="F6" s="78">
        <v>59.958138794949377</v>
      </c>
      <c r="G6" s="79"/>
      <c r="H6" s="395"/>
      <c r="I6" s="395"/>
      <c r="J6" s="395"/>
      <c r="K6" s="395"/>
      <c r="L6" s="395"/>
      <c r="M6" s="395"/>
      <c r="N6" s="395"/>
      <c r="O6" s="140"/>
      <c r="P6" s="140"/>
      <c r="Q6" s="140"/>
      <c r="R6" s="140"/>
      <c r="S6" s="140"/>
    </row>
    <row r="7" spans="1:24" ht="15.75" hidden="1" customHeight="1">
      <c r="A7" s="9" t="s">
        <v>3</v>
      </c>
      <c r="B7" s="78">
        <v>24.838216360873993</v>
      </c>
      <c r="C7" s="78">
        <v>24.767182850182415</v>
      </c>
      <c r="D7" s="78">
        <v>25.947612874271069</v>
      </c>
      <c r="E7" s="78">
        <v>26.650284324097672</v>
      </c>
      <c r="F7" s="78">
        <v>28.182181394876967</v>
      </c>
      <c r="G7" s="78">
        <v>29.604108712264981</v>
      </c>
      <c r="H7" s="78">
        <v>31.1</v>
      </c>
      <c r="I7" s="79"/>
      <c r="J7" s="395"/>
      <c r="K7" s="395"/>
      <c r="L7" s="395"/>
      <c r="M7" s="395"/>
      <c r="N7" s="395"/>
      <c r="O7" s="140"/>
      <c r="P7" s="140"/>
      <c r="Q7" s="140"/>
      <c r="R7" s="140"/>
      <c r="S7" s="140"/>
    </row>
    <row r="8" spans="1:24" ht="15.75" customHeight="1">
      <c r="A8" s="9" t="s">
        <v>4</v>
      </c>
      <c r="B8" s="78">
        <v>113.88927236263888</v>
      </c>
      <c r="C8" s="78">
        <v>111.37258911353621</v>
      </c>
      <c r="D8" s="78">
        <v>116.53296393304147</v>
      </c>
      <c r="E8" s="78">
        <v>112.6453762835512</v>
      </c>
      <c r="F8" s="78">
        <v>113.64408659422696</v>
      </c>
      <c r="G8" s="78">
        <v>114.92617112485912</v>
      </c>
      <c r="H8" s="78">
        <v>116.5</v>
      </c>
      <c r="I8" s="78">
        <v>110.52691538713199</v>
      </c>
      <c r="J8" s="44">
        <v>110.6</v>
      </c>
      <c r="K8" s="44">
        <v>113.09526239815364</v>
      </c>
      <c r="L8" s="44">
        <v>113.67942662965264</v>
      </c>
      <c r="M8" s="44">
        <v>114.2900593832544</v>
      </c>
      <c r="N8" s="44">
        <v>115.35274536158651</v>
      </c>
      <c r="O8" s="44">
        <v>115.977709340391</v>
      </c>
      <c r="P8" s="44">
        <v>116.21252545449094</v>
      </c>
      <c r="Q8" s="44">
        <v>117.93888533495496</v>
      </c>
      <c r="R8" s="44">
        <v>111.99778388115693</v>
      </c>
      <c r="S8" s="44">
        <v>123.86295985075171</v>
      </c>
      <c r="T8" s="44">
        <v>121.4741156255006</v>
      </c>
      <c r="U8" s="44">
        <v>119.33837331868428</v>
      </c>
      <c r="V8" s="44">
        <v>116.32923894527515</v>
      </c>
      <c r="W8" s="44">
        <v>117.77740378090849</v>
      </c>
      <c r="X8" s="44">
        <v>117.53485392890592</v>
      </c>
    </row>
    <row r="9" spans="1:24" ht="15.75" customHeight="1">
      <c r="A9" s="9" t="s">
        <v>5</v>
      </c>
      <c r="B9" s="78">
        <v>25.221120468854352</v>
      </c>
      <c r="C9" s="78">
        <v>28.507593647713669</v>
      </c>
      <c r="D9" s="78">
        <v>30.355779458048509</v>
      </c>
      <c r="E9" s="78">
        <v>35.12790669648291</v>
      </c>
      <c r="F9" s="78">
        <v>38.03864021219961</v>
      </c>
      <c r="G9" s="78">
        <v>40.237408143841691</v>
      </c>
      <c r="H9" s="78">
        <v>40.6</v>
      </c>
      <c r="I9" s="78">
        <v>42.178982619182797</v>
      </c>
      <c r="J9" s="44">
        <v>42.146755231744997</v>
      </c>
      <c r="K9" s="44">
        <v>49.796427094005466</v>
      </c>
      <c r="L9" s="44">
        <v>49.796427094005466</v>
      </c>
      <c r="M9" s="44">
        <v>52.442593794552707</v>
      </c>
      <c r="N9" s="44">
        <v>54.33</v>
      </c>
      <c r="O9" s="44">
        <v>57.349717190353203</v>
      </c>
      <c r="P9" s="44">
        <v>59.874839240479616</v>
      </c>
      <c r="Q9" s="73" t="s">
        <v>149</v>
      </c>
      <c r="R9" s="73" t="s">
        <v>149</v>
      </c>
      <c r="S9" s="73" t="s">
        <v>149</v>
      </c>
      <c r="T9" s="422">
        <v>74.186771033763165</v>
      </c>
      <c r="U9" s="422">
        <v>74.816563006504907</v>
      </c>
      <c r="V9" s="422">
        <v>74.918763968653863</v>
      </c>
      <c r="W9" s="422">
        <v>73.906694109952682</v>
      </c>
      <c r="X9" s="422">
        <v>74.621073999999993</v>
      </c>
    </row>
    <row r="10" spans="1:24" ht="15.75" customHeight="1">
      <c r="A10" s="9" t="s">
        <v>50</v>
      </c>
      <c r="B10" s="78">
        <v>64.863919142355471</v>
      </c>
      <c r="C10" s="78">
        <v>72.024679450394316</v>
      </c>
      <c r="D10" s="78">
        <v>75.17382458220095</v>
      </c>
      <c r="E10" s="78">
        <v>79.249057660634492</v>
      </c>
      <c r="F10" s="78">
        <v>81.568029630745258</v>
      </c>
      <c r="G10" s="78">
        <v>84.831228002542218</v>
      </c>
      <c r="H10" s="78">
        <v>87.2</v>
      </c>
      <c r="I10" s="44">
        <v>92.909072969285077</v>
      </c>
      <c r="J10" s="44">
        <v>95.853961175713067</v>
      </c>
      <c r="K10" s="44">
        <v>97.498904852598741</v>
      </c>
      <c r="L10" s="44">
        <v>98.377003280240487</v>
      </c>
      <c r="M10" s="44">
        <v>101.91865425316064</v>
      </c>
      <c r="N10" s="44">
        <v>105.54638882302821</v>
      </c>
      <c r="O10" s="78">
        <v>115.27391173952483</v>
      </c>
      <c r="P10" s="78">
        <v>117.16910020126431</v>
      </c>
      <c r="Q10" s="78">
        <v>111.93752394587729</v>
      </c>
      <c r="R10" s="422">
        <v>109.986586595503</v>
      </c>
      <c r="S10" s="422">
        <v>114.62517197047228</v>
      </c>
      <c r="T10" s="422">
        <v>117.98380806987154</v>
      </c>
      <c r="U10" s="422">
        <v>121.09195958288655</v>
      </c>
      <c r="V10" s="422">
        <v>135.23152716378701</v>
      </c>
      <c r="W10" s="422">
        <v>131.04140000000001</v>
      </c>
      <c r="X10" s="422">
        <v>138.77785051949311</v>
      </c>
    </row>
    <row r="11" spans="1:24" ht="15.75" customHeight="1">
      <c r="A11" s="9" t="s">
        <v>6</v>
      </c>
      <c r="B11" s="78">
        <v>39.689140950743038</v>
      </c>
      <c r="C11" s="78">
        <v>43.044279891389571</v>
      </c>
      <c r="D11" s="78">
        <v>45.824655736953531</v>
      </c>
      <c r="E11" s="78">
        <v>50.005913849818825</v>
      </c>
      <c r="F11" s="78">
        <v>67.845645904157564</v>
      </c>
      <c r="G11" s="78">
        <v>72.807050580389983</v>
      </c>
      <c r="H11" s="78">
        <v>76.006626256482519</v>
      </c>
      <c r="I11" s="78">
        <v>78.942124200281825</v>
      </c>
      <c r="J11" s="78">
        <v>83.455395847161057</v>
      </c>
      <c r="K11" s="78">
        <v>86.584220080051267</v>
      </c>
      <c r="L11" s="78">
        <v>89.703365393559437</v>
      </c>
      <c r="M11" s="78">
        <v>92.939739296242664</v>
      </c>
      <c r="N11" s="78">
        <v>98.072175243238036</v>
      </c>
      <c r="O11" s="78">
        <v>102.12565281457312</v>
      </c>
      <c r="P11" s="78">
        <v>103.63004713610025</v>
      </c>
      <c r="Q11" s="78">
        <v>106.84548035101615</v>
      </c>
      <c r="R11" s="44">
        <v>108.19452169770881</v>
      </c>
      <c r="S11" s="44">
        <v>111.10382505917322</v>
      </c>
      <c r="T11" s="44">
        <v>122.6</v>
      </c>
      <c r="U11" s="73" t="s">
        <v>149</v>
      </c>
      <c r="V11" s="73" t="s">
        <v>149</v>
      </c>
      <c r="W11" s="73" t="s">
        <v>149</v>
      </c>
      <c r="X11" s="73" t="s">
        <v>149</v>
      </c>
    </row>
    <row r="12" spans="1:24" ht="15.75" customHeight="1">
      <c r="A12" s="9" t="s">
        <v>7</v>
      </c>
      <c r="B12" s="78">
        <v>75.629950058377958</v>
      </c>
      <c r="C12" s="78">
        <v>76.768312823720407</v>
      </c>
      <c r="D12" s="78">
        <v>80.417069886777099</v>
      </c>
      <c r="E12" s="78">
        <v>84.164962915859036</v>
      </c>
      <c r="F12" s="78">
        <v>84.458912466735939</v>
      </c>
      <c r="G12" s="78">
        <v>86.466392550763345</v>
      </c>
      <c r="H12" s="78">
        <v>84.8</v>
      </c>
      <c r="I12" s="78">
        <v>87.491570399912277</v>
      </c>
      <c r="J12" s="44">
        <v>83.13216493926484</v>
      </c>
      <c r="K12" s="44">
        <v>94.079832926087775</v>
      </c>
      <c r="L12" s="44">
        <v>96.587872332379519</v>
      </c>
      <c r="M12" s="44">
        <v>101.1898043309716</v>
      </c>
      <c r="N12" s="44">
        <v>101.01178767120015</v>
      </c>
      <c r="O12" s="44">
        <v>106.00023503371901</v>
      </c>
      <c r="P12" s="44">
        <v>109.70122697486453</v>
      </c>
      <c r="Q12" s="44">
        <v>112.23914400175541</v>
      </c>
      <c r="R12" s="44">
        <v>114.25101388671175</v>
      </c>
      <c r="S12" s="44">
        <v>121.9612989164315</v>
      </c>
      <c r="T12" s="44">
        <v>119.86756939156027</v>
      </c>
      <c r="U12" s="44">
        <v>121.60560141051759</v>
      </c>
      <c r="V12" s="44">
        <v>122.23378981461607</v>
      </c>
      <c r="W12" s="44">
        <v>112.96022480814247</v>
      </c>
      <c r="X12" s="44">
        <v>112.73581810406961</v>
      </c>
    </row>
    <row r="13" spans="1:24" ht="15.75" customHeight="1">
      <c r="A13" s="9" t="s">
        <v>369</v>
      </c>
      <c r="B13" s="73" t="s">
        <v>149</v>
      </c>
      <c r="C13" s="73" t="s">
        <v>149</v>
      </c>
      <c r="D13" s="73" t="s">
        <v>149</v>
      </c>
      <c r="E13" s="73" t="s">
        <v>149</v>
      </c>
      <c r="F13" s="73" t="s">
        <v>149</v>
      </c>
      <c r="G13" s="73" t="s">
        <v>149</v>
      </c>
      <c r="H13" s="73" t="s">
        <v>149</v>
      </c>
      <c r="I13" s="73" t="s">
        <v>149</v>
      </c>
      <c r="J13" s="73" t="s">
        <v>149</v>
      </c>
      <c r="K13" s="73" t="s">
        <v>149</v>
      </c>
      <c r="L13" s="73" t="s">
        <v>149</v>
      </c>
      <c r="M13" s="44">
        <v>3.8</v>
      </c>
      <c r="N13" s="71">
        <v>3.9</v>
      </c>
      <c r="O13" s="71">
        <v>3.8</v>
      </c>
      <c r="P13" s="71">
        <v>3.9</v>
      </c>
      <c r="Q13" s="71">
        <v>3.1</v>
      </c>
      <c r="R13" s="71">
        <v>3.3</v>
      </c>
      <c r="S13" s="424">
        <v>3.26</v>
      </c>
      <c r="T13" s="424">
        <v>3.3</v>
      </c>
      <c r="U13" s="424">
        <f>0.035*100</f>
        <v>3.5000000000000004</v>
      </c>
      <c r="V13" s="44">
        <v>3.8</v>
      </c>
      <c r="W13" s="44">
        <v>4.0999999999999996</v>
      </c>
      <c r="X13" s="44">
        <v>4.43</v>
      </c>
    </row>
    <row r="14" spans="1:24" ht="15.75" customHeight="1">
      <c r="A14" s="9" t="s">
        <v>363</v>
      </c>
      <c r="B14" s="73" t="s">
        <v>149</v>
      </c>
      <c r="C14" s="73" t="s">
        <v>149</v>
      </c>
      <c r="D14" s="73" t="s">
        <v>149</v>
      </c>
      <c r="E14" s="73" t="s">
        <v>149</v>
      </c>
      <c r="F14" s="73" t="s">
        <v>149</v>
      </c>
      <c r="G14" s="73" t="s">
        <v>149</v>
      </c>
      <c r="H14" s="73" t="s">
        <v>149</v>
      </c>
      <c r="I14" s="73" t="s">
        <v>149</v>
      </c>
      <c r="J14" s="73" t="s">
        <v>149</v>
      </c>
      <c r="K14" s="73" t="s">
        <v>149</v>
      </c>
      <c r="L14" s="73" t="s">
        <v>149</v>
      </c>
      <c r="M14" s="73" t="s">
        <v>149</v>
      </c>
      <c r="N14" s="44">
        <v>24.2</v>
      </c>
      <c r="O14" s="44">
        <v>24.44</v>
      </c>
      <c r="P14" s="82">
        <v>24.71</v>
      </c>
      <c r="Q14" s="71">
        <v>23.6</v>
      </c>
      <c r="R14" s="71">
        <v>23.5</v>
      </c>
      <c r="S14" s="73" t="s">
        <v>149</v>
      </c>
      <c r="T14" s="71" t="s">
        <v>149</v>
      </c>
      <c r="U14" s="82">
        <v>9</v>
      </c>
      <c r="V14" s="82">
        <v>27.4</v>
      </c>
      <c r="W14" s="82">
        <v>9.1999999999999993</v>
      </c>
      <c r="X14" s="82">
        <v>8.3000000000000007</v>
      </c>
    </row>
    <row r="15" spans="1:24" ht="15.75" customHeight="1">
      <c r="A15" s="9" t="s">
        <v>8</v>
      </c>
      <c r="B15" s="78">
        <v>28.18510849468796</v>
      </c>
      <c r="C15" s="78">
        <v>29.137522399642911</v>
      </c>
      <c r="D15" s="78">
        <v>30.306948944508061</v>
      </c>
      <c r="E15" s="78">
        <v>31.533435586036244</v>
      </c>
      <c r="F15" s="78">
        <v>32.46927992646421</v>
      </c>
      <c r="G15" s="78">
        <v>33.583815909962283</v>
      </c>
      <c r="H15" s="78">
        <v>33.5</v>
      </c>
      <c r="I15" s="78">
        <v>29.5</v>
      </c>
      <c r="J15" s="78">
        <v>30.900183957508787</v>
      </c>
      <c r="K15" s="78">
        <v>32.637944263621435</v>
      </c>
      <c r="L15" s="78">
        <v>33.57108480638415</v>
      </c>
      <c r="M15" s="78">
        <v>34.933722722598844</v>
      </c>
      <c r="N15" s="78">
        <v>36.143890334932898</v>
      </c>
      <c r="O15" s="78">
        <v>37.968544700509703</v>
      </c>
      <c r="P15" s="78">
        <v>38.365126697360829</v>
      </c>
      <c r="Q15" s="78">
        <v>40.768900000000002</v>
      </c>
      <c r="R15" s="78">
        <v>42.528852267958683</v>
      </c>
      <c r="S15" s="78">
        <v>43.637190718522959</v>
      </c>
      <c r="T15" s="78">
        <v>45.46</v>
      </c>
      <c r="U15" s="78">
        <v>47.52</v>
      </c>
      <c r="V15" s="78">
        <v>50.05</v>
      </c>
      <c r="W15" s="78">
        <v>52.57</v>
      </c>
      <c r="X15" s="78">
        <v>55.870000000000005</v>
      </c>
    </row>
    <row r="16" spans="1:24" ht="15.75" customHeight="1">
      <c r="A16" s="9" t="s">
        <v>82</v>
      </c>
      <c r="B16" s="78">
        <v>22.281034044756296</v>
      </c>
      <c r="C16" s="78">
        <v>27.691284023586181</v>
      </c>
      <c r="D16" s="78">
        <v>32.413274151807734</v>
      </c>
      <c r="E16" s="78">
        <v>35.987435530696033</v>
      </c>
      <c r="F16" s="78">
        <v>40.198081567990883</v>
      </c>
      <c r="G16" s="78">
        <v>43.291167501261725</v>
      </c>
      <c r="H16" s="78">
        <v>47.8</v>
      </c>
      <c r="I16" s="78">
        <v>50.12820670922563</v>
      </c>
      <c r="J16" s="78">
        <v>51.512226414339914</v>
      </c>
      <c r="K16" s="78">
        <v>53.871506061682581</v>
      </c>
      <c r="L16" s="78">
        <v>56.366870952118362</v>
      </c>
      <c r="M16" s="78">
        <v>58.356460532521581</v>
      </c>
      <c r="N16" s="44">
        <v>60.095065017583373</v>
      </c>
      <c r="O16" s="44">
        <v>70.771951739773712</v>
      </c>
      <c r="P16" s="44">
        <v>74.495032814691271</v>
      </c>
      <c r="Q16" s="44">
        <v>79.081126955854003</v>
      </c>
      <c r="R16" s="44">
        <v>76.296827051328449</v>
      </c>
      <c r="S16" s="44">
        <v>85.198828915854946</v>
      </c>
      <c r="T16" s="44">
        <v>84.981566369502389</v>
      </c>
      <c r="U16" s="44">
        <v>90.406616723482941</v>
      </c>
      <c r="V16" s="78">
        <v>91.580784960297095</v>
      </c>
      <c r="W16" s="78">
        <v>93.567058740977799</v>
      </c>
      <c r="X16" s="78">
        <v>97.271527930663197</v>
      </c>
    </row>
    <row r="17" spans="1:24" ht="15.75" customHeight="1">
      <c r="A17" s="9" t="s">
        <v>9</v>
      </c>
      <c r="B17" s="78">
        <v>41.113278209546273</v>
      </c>
      <c r="C17" s="78">
        <v>42.753148875355677</v>
      </c>
      <c r="D17" s="78">
        <v>45.216857971289173</v>
      </c>
      <c r="E17" s="78">
        <v>45.313359487868965</v>
      </c>
      <c r="F17" s="78">
        <v>47.206592879206873</v>
      </c>
      <c r="G17" s="78">
        <v>50.494497266584901</v>
      </c>
      <c r="H17" s="78">
        <v>55.4</v>
      </c>
      <c r="I17" s="78">
        <v>59.649951084946053</v>
      </c>
      <c r="J17" s="73" t="s">
        <v>149</v>
      </c>
      <c r="K17" s="44">
        <v>69.944350774992103</v>
      </c>
      <c r="L17" s="44">
        <v>74.7</v>
      </c>
      <c r="M17" s="44">
        <v>69.418254736930223</v>
      </c>
      <c r="N17" s="44">
        <v>71.421500004360993</v>
      </c>
      <c r="O17" s="44">
        <v>74.3</v>
      </c>
      <c r="P17" s="44">
        <v>77.780943650506785</v>
      </c>
      <c r="Q17" s="44">
        <v>77.793031435480316</v>
      </c>
      <c r="R17" s="44">
        <v>93.811502790644198</v>
      </c>
      <c r="S17" s="44">
        <v>82.515861436549301</v>
      </c>
      <c r="T17" s="44">
        <v>83.0807871958947</v>
      </c>
      <c r="U17" s="44">
        <v>85.637109170961395</v>
      </c>
      <c r="V17" s="44">
        <v>95.643658142237769</v>
      </c>
      <c r="W17" s="44">
        <v>90.415541299217722</v>
      </c>
      <c r="X17" s="44">
        <v>92.114905927474638</v>
      </c>
    </row>
    <row r="18" spans="1:24" ht="5.0999999999999996" customHeight="1">
      <c r="A18" s="9"/>
      <c r="B18" s="425"/>
      <c r="C18" s="425"/>
      <c r="D18" s="425"/>
      <c r="E18" s="425"/>
      <c r="F18" s="425"/>
      <c r="G18" s="425"/>
      <c r="H18" s="71"/>
      <c r="I18" s="71"/>
      <c r="J18" s="140"/>
      <c r="K18" s="140"/>
      <c r="L18" s="140"/>
      <c r="M18" s="140"/>
      <c r="N18" s="140"/>
      <c r="O18" s="140"/>
      <c r="P18" s="140"/>
      <c r="Q18" s="140"/>
      <c r="R18" s="140"/>
      <c r="S18" s="140"/>
      <c r="W18" s="44"/>
      <c r="X18" s="44"/>
    </row>
    <row r="19" spans="1:24" s="84" customFormat="1" ht="15.75" customHeight="1">
      <c r="A19" s="85" t="s">
        <v>10</v>
      </c>
      <c r="B19" s="423">
        <v>55.374420451985671</v>
      </c>
      <c r="C19" s="423">
        <v>57.549302839311089</v>
      </c>
      <c r="D19" s="423">
        <v>60.167017081210226</v>
      </c>
      <c r="E19" s="423">
        <v>63.592123860556661</v>
      </c>
      <c r="F19" s="423">
        <v>64.1615252341511</v>
      </c>
      <c r="G19" s="423">
        <v>66.730255978061408</v>
      </c>
      <c r="H19" s="348">
        <v>67.5</v>
      </c>
      <c r="I19" s="47">
        <v>78.678198177571886</v>
      </c>
      <c r="J19" s="47"/>
      <c r="K19" s="47"/>
      <c r="L19" s="47"/>
      <c r="M19" s="47"/>
      <c r="N19" s="47"/>
      <c r="O19" s="47"/>
      <c r="P19" s="426"/>
      <c r="Q19" s="426"/>
      <c r="R19" s="426"/>
      <c r="S19" s="426"/>
      <c r="T19" s="426"/>
      <c r="U19" s="426"/>
      <c r="V19" s="426"/>
      <c r="W19" s="426"/>
      <c r="X19" s="426"/>
    </row>
    <row r="20" spans="1:24" ht="14.1" customHeight="1">
      <c r="A20" s="9"/>
      <c r="B20" s="140"/>
      <c r="C20" s="140"/>
      <c r="D20" s="140"/>
      <c r="E20" s="140"/>
      <c r="F20" s="403"/>
      <c r="G20" s="140"/>
      <c r="H20" s="140"/>
      <c r="I20" s="140"/>
      <c r="J20" s="140"/>
      <c r="K20" s="140"/>
      <c r="L20" s="140"/>
      <c r="M20" s="140"/>
      <c r="N20" s="140"/>
      <c r="O20" s="140"/>
      <c r="P20" s="140"/>
      <c r="Q20" s="140"/>
      <c r="R20" s="140"/>
      <c r="S20" s="140"/>
    </row>
    <row r="21" spans="1:24" ht="15" customHeight="1">
      <c r="A21" s="88" t="s">
        <v>395</v>
      </c>
      <c r="B21" s="89"/>
      <c r="C21" s="89"/>
      <c r="D21" s="89"/>
      <c r="E21" s="89"/>
      <c r="F21" s="89"/>
      <c r="G21" s="90"/>
    </row>
    <row r="22" spans="1:24">
      <c r="A22" s="89"/>
      <c r="B22" s="89"/>
      <c r="C22" s="89"/>
      <c r="D22" s="89"/>
      <c r="E22" s="89"/>
      <c r="F22" s="89"/>
    </row>
    <row r="23" spans="1:24">
      <c r="A23" s="89"/>
      <c r="B23" s="89"/>
      <c r="C23" s="89"/>
      <c r="D23" s="89"/>
      <c r="E23" s="89"/>
      <c r="F23" s="89"/>
    </row>
    <row r="30" spans="1:24">
      <c r="G30" s="372"/>
      <c r="H30" s="372"/>
    </row>
  </sheetData>
  <phoneticPr fontId="9" type="noConversion"/>
  <pageMargins left="0.74803149606299213" right="0.74803149606299213" top="0.98425196850393704" bottom="0.98425196850393704" header="0.51181102362204722" footer="0.51181102362204722"/>
  <pageSetup scale="74" orientation="landscape" r:id="rId1"/>
  <headerFooter alignWithMargins="0">
    <oddHeader>&amp;A</oddHeader>
    <oddFooter>&amp;L&amp;F&amp;R&amp;D</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X22"/>
  <sheetViews>
    <sheetView showGridLines="0" zoomScale="90" zoomScaleNormal="90" workbookViewId="0"/>
  </sheetViews>
  <sheetFormatPr baseColWidth="10" defaultRowHeight="15"/>
  <cols>
    <col min="1" max="1" width="12.625" style="13" customWidth="1"/>
    <col min="2" max="15" width="10.625" style="13" customWidth="1"/>
    <col min="16" max="16384" width="11" style="13"/>
  </cols>
  <sheetData>
    <row r="1" spans="1:24">
      <c r="A1" s="10" t="s">
        <v>307</v>
      </c>
    </row>
    <row r="2" spans="1:24" ht="15.75" customHeight="1">
      <c r="A2" s="12" t="s">
        <v>167</v>
      </c>
      <c r="B2" s="75"/>
      <c r="C2" s="75"/>
      <c r="D2" s="75"/>
      <c r="E2" s="75"/>
      <c r="G2" s="75"/>
    </row>
    <row r="3" spans="1:24" ht="8.25" customHeight="1">
      <c r="A3" s="12"/>
      <c r="B3" s="75"/>
      <c r="C3" s="75"/>
      <c r="D3" s="75"/>
      <c r="E3" s="75"/>
      <c r="G3" s="75"/>
    </row>
    <row r="4" spans="1:24" s="144" customFormat="1" ht="28.5" customHeight="1">
      <c r="A4" s="27" t="s">
        <v>0</v>
      </c>
      <c r="B4" s="77" t="s">
        <v>121</v>
      </c>
      <c r="C4" s="77" t="s">
        <v>119</v>
      </c>
      <c r="D4" s="77" t="s">
        <v>124</v>
      </c>
      <c r="E4" s="77" t="s">
        <v>141</v>
      </c>
      <c r="F4" s="77" t="s">
        <v>160</v>
      </c>
      <c r="G4" s="77" t="s">
        <v>177</v>
      </c>
      <c r="H4" s="77" t="s">
        <v>186</v>
      </c>
      <c r="I4" s="77" t="s">
        <v>188</v>
      </c>
      <c r="J4" s="77" t="s">
        <v>199</v>
      </c>
      <c r="K4" s="77" t="s">
        <v>200</v>
      </c>
      <c r="L4" s="77" t="s">
        <v>201</v>
      </c>
      <c r="M4" s="77" t="s">
        <v>202</v>
      </c>
      <c r="N4" s="77" t="s">
        <v>354</v>
      </c>
      <c r="O4" s="77" t="s">
        <v>371</v>
      </c>
      <c r="P4" s="77" t="s">
        <v>383</v>
      </c>
      <c r="Q4" s="77" t="s">
        <v>401</v>
      </c>
      <c r="R4" s="77" t="s">
        <v>440</v>
      </c>
      <c r="S4" s="77" t="s">
        <v>465</v>
      </c>
      <c r="T4" s="77" t="s">
        <v>477</v>
      </c>
      <c r="U4" s="77" t="s">
        <v>488</v>
      </c>
      <c r="V4" s="77" t="s">
        <v>499</v>
      </c>
      <c r="W4" s="77" t="s">
        <v>518</v>
      </c>
      <c r="X4" s="77" t="s">
        <v>530</v>
      </c>
    </row>
    <row r="5" spans="1:24" s="76" customFormat="1" ht="5.0999999999999996" customHeight="1">
      <c r="A5" s="18"/>
      <c r="B5" s="18"/>
      <c r="C5" s="18"/>
      <c r="D5" s="18"/>
      <c r="E5" s="18"/>
      <c r="G5" s="18"/>
      <c r="U5" s="7"/>
      <c r="V5" s="7"/>
      <c r="W5" s="7"/>
      <c r="X5" s="7"/>
    </row>
    <row r="6" spans="1:24" ht="15.75" customHeight="1">
      <c r="A6" s="9" t="s">
        <v>2</v>
      </c>
      <c r="B6" s="78">
        <v>19.726885096730033</v>
      </c>
      <c r="C6" s="78">
        <v>20.627952840187724</v>
      </c>
      <c r="D6" s="78">
        <v>24.532980417452933</v>
      </c>
      <c r="E6" s="78">
        <v>25.710904045059241</v>
      </c>
      <c r="F6" s="78">
        <v>24.344280696230776</v>
      </c>
      <c r="G6" s="79"/>
      <c r="H6" s="395"/>
      <c r="I6" s="395"/>
      <c r="J6" s="395"/>
      <c r="K6" s="395"/>
      <c r="L6" s="395"/>
      <c r="M6" s="395"/>
      <c r="N6" s="395"/>
      <c r="O6" s="395"/>
      <c r="P6" s="395"/>
      <c r="Q6" s="395"/>
      <c r="R6" s="395"/>
      <c r="S6" s="395"/>
      <c r="T6" s="583"/>
      <c r="U6" s="80"/>
      <c r="V6" s="80"/>
      <c r="W6" s="80"/>
      <c r="X6" s="80"/>
    </row>
    <row r="7" spans="1:24" ht="15.75" customHeight="1">
      <c r="A7" s="9" t="s">
        <v>3</v>
      </c>
      <c r="B7" s="78">
        <v>9.6834232188392431</v>
      </c>
      <c r="C7" s="78">
        <v>11.124074197811519</v>
      </c>
      <c r="D7" s="78">
        <v>12.321272452379104</v>
      </c>
      <c r="E7" s="78">
        <v>13.349731844460624</v>
      </c>
      <c r="F7" s="78">
        <v>13.331112535861347</v>
      </c>
      <c r="G7" s="78">
        <v>12.76109158216606</v>
      </c>
      <c r="H7" s="78">
        <v>13.4</v>
      </c>
      <c r="I7" s="79"/>
      <c r="J7" s="395"/>
      <c r="K7" s="395"/>
      <c r="L7" s="395"/>
      <c r="M7" s="395"/>
      <c r="N7" s="395"/>
      <c r="O7" s="395"/>
      <c r="P7" s="395"/>
      <c r="Q7" s="395"/>
      <c r="R7" s="395"/>
      <c r="S7" s="395"/>
      <c r="T7" s="583"/>
      <c r="U7" s="79"/>
      <c r="V7" s="79"/>
      <c r="W7" s="79"/>
      <c r="X7" s="79"/>
    </row>
    <row r="8" spans="1:24" ht="15.75" customHeight="1">
      <c r="A8" s="9" t="s">
        <v>4</v>
      </c>
      <c r="B8" s="78">
        <v>59.054875909526302</v>
      </c>
      <c r="C8" s="78">
        <v>56.182407882194909</v>
      </c>
      <c r="D8" s="78">
        <v>59.635784550116469</v>
      </c>
      <c r="E8" s="78">
        <v>58.01258481260593</v>
      </c>
      <c r="F8" s="78">
        <v>61.166560941047486</v>
      </c>
      <c r="G8" s="78">
        <v>62.762807322901978</v>
      </c>
      <c r="H8" s="78">
        <v>60.3</v>
      </c>
      <c r="I8" s="78">
        <v>60.284632066070607</v>
      </c>
      <c r="J8" s="44">
        <v>61.8</v>
      </c>
      <c r="K8" s="44">
        <v>63.889468516238281</v>
      </c>
      <c r="L8" s="44">
        <v>63.721801284477451</v>
      </c>
      <c r="M8" s="44">
        <v>64.259432616614035</v>
      </c>
      <c r="N8" s="44">
        <v>64.654968507684416</v>
      </c>
      <c r="O8" s="44">
        <v>64.849402797000963</v>
      </c>
      <c r="P8" s="44">
        <v>64.189384467856115</v>
      </c>
      <c r="Q8" s="44">
        <v>65.774979701836969</v>
      </c>
      <c r="R8" s="44">
        <v>62.263179794807684</v>
      </c>
      <c r="S8" s="44">
        <v>66.699170652042852</v>
      </c>
      <c r="T8" s="44">
        <v>68.833456012597949</v>
      </c>
      <c r="U8" s="44">
        <v>66.724462896367513</v>
      </c>
      <c r="V8" s="44">
        <v>61.682368239282034</v>
      </c>
      <c r="W8" s="44">
        <v>63.649491565042666</v>
      </c>
      <c r="X8" s="44">
        <v>63.35737727895728</v>
      </c>
    </row>
    <row r="9" spans="1:24" ht="15.75" customHeight="1">
      <c r="A9" s="9" t="s">
        <v>5</v>
      </c>
      <c r="B9" s="78">
        <v>12.282423438537469</v>
      </c>
      <c r="C9" s="78">
        <v>11.114060710493018</v>
      </c>
      <c r="D9" s="78">
        <v>11.729037902096055</v>
      </c>
      <c r="E9" s="78">
        <v>14.751813961403275</v>
      </c>
      <c r="F9" s="78">
        <v>17.144234556658702</v>
      </c>
      <c r="G9" s="78">
        <v>18.033479289456768</v>
      </c>
      <c r="H9" s="78">
        <v>18.5</v>
      </c>
      <c r="I9" s="78">
        <v>19.484365163093059</v>
      </c>
      <c r="J9" s="44">
        <v>19.469477886395069</v>
      </c>
      <c r="K9" s="44">
        <v>18.908777735061687</v>
      </c>
      <c r="L9" s="44">
        <v>19.331213584671566</v>
      </c>
      <c r="M9" s="44">
        <v>22.038571422237752</v>
      </c>
      <c r="N9" s="44">
        <v>20.83</v>
      </c>
      <c r="O9" s="44">
        <v>18.850998330343401</v>
      </c>
      <c r="P9" s="44">
        <v>21.510665669778454</v>
      </c>
      <c r="Q9" s="82" t="s">
        <v>149</v>
      </c>
      <c r="R9" s="82" t="s">
        <v>149</v>
      </c>
      <c r="S9" s="82" t="s">
        <v>149</v>
      </c>
      <c r="T9" s="44">
        <v>28.73060767104446</v>
      </c>
      <c r="U9" s="44">
        <v>29.695483448838317</v>
      </c>
      <c r="V9" s="44">
        <v>30.12063674628304</v>
      </c>
      <c r="W9" s="44">
        <v>29.18208748509214</v>
      </c>
      <c r="X9" s="44">
        <v>29.952366000000001</v>
      </c>
    </row>
    <row r="10" spans="1:24" ht="15.75" customHeight="1">
      <c r="A10" s="9" t="s">
        <v>50</v>
      </c>
      <c r="B10" s="78">
        <v>47.406173793411085</v>
      </c>
      <c r="C10" s="78">
        <v>49.074237926139176</v>
      </c>
      <c r="D10" s="78">
        <v>49.091309401450708</v>
      </c>
      <c r="E10" s="78">
        <v>51.997759454869211</v>
      </c>
      <c r="F10" s="78">
        <v>55.79292762147476</v>
      </c>
      <c r="G10" s="78">
        <v>58.02250228562356</v>
      </c>
      <c r="H10" s="78">
        <v>57.2</v>
      </c>
      <c r="I10" s="78">
        <v>62.818754798077634</v>
      </c>
      <c r="J10" s="78">
        <v>63.19107841247753</v>
      </c>
      <c r="K10" s="78">
        <v>62.593091296339246</v>
      </c>
      <c r="L10" s="78">
        <v>62.276804106586447</v>
      </c>
      <c r="M10" s="78">
        <v>63.289915305969345</v>
      </c>
      <c r="N10" s="78">
        <v>64.948578169786785</v>
      </c>
      <c r="O10" s="44">
        <v>69.446243230602434</v>
      </c>
      <c r="P10" s="44">
        <v>49.472112984366106</v>
      </c>
      <c r="Q10" s="44">
        <v>46.321619178211101</v>
      </c>
      <c r="R10" s="427">
        <v>45.27944860194448</v>
      </c>
      <c r="S10" s="427">
        <v>47.838190841952681</v>
      </c>
      <c r="T10" s="427">
        <v>50.488330330800977</v>
      </c>
      <c r="U10" s="427">
        <v>52.153286837447851</v>
      </c>
      <c r="V10" s="427">
        <v>58.4216914894753</v>
      </c>
      <c r="W10" s="427">
        <v>56.959392000000001</v>
      </c>
      <c r="X10" s="427">
        <v>60.571978690014184</v>
      </c>
    </row>
    <row r="11" spans="1:24" ht="15.75" customHeight="1">
      <c r="A11" s="9" t="s">
        <v>6</v>
      </c>
      <c r="B11" s="78">
        <v>18.172056594239518</v>
      </c>
      <c r="C11" s="78">
        <v>18.054804801203733</v>
      </c>
      <c r="D11" s="78">
        <v>18.10610921883012</v>
      </c>
      <c r="E11" s="78">
        <v>18.728466629189093</v>
      </c>
      <c r="F11" s="78">
        <v>24.343047476187163</v>
      </c>
      <c r="G11" s="78">
        <v>23.03858956339737</v>
      </c>
      <c r="H11" s="78">
        <v>21.489206859672517</v>
      </c>
      <c r="I11" s="78">
        <v>22.325061892411842</v>
      </c>
      <c r="J11" s="78">
        <v>22.807711690399536</v>
      </c>
      <c r="K11" s="78">
        <v>22.962696815932741</v>
      </c>
      <c r="L11" s="78">
        <v>23.493000032914086</v>
      </c>
      <c r="M11" s="78">
        <v>23.219053695800593</v>
      </c>
      <c r="N11" s="78">
        <v>24.258942235957338</v>
      </c>
      <c r="O11" s="44">
        <v>24.81598456885472</v>
      </c>
      <c r="P11" s="44">
        <v>24.039478679324557</v>
      </c>
      <c r="Q11" s="44">
        <v>24.2</v>
      </c>
      <c r="R11" s="44">
        <v>23.7</v>
      </c>
      <c r="S11" s="44">
        <v>23.169688105802923</v>
      </c>
      <c r="T11" s="44">
        <v>27.4</v>
      </c>
      <c r="U11" s="82" t="s">
        <v>149</v>
      </c>
      <c r="V11" s="82" t="s">
        <v>149</v>
      </c>
      <c r="W11" s="82" t="s">
        <v>149</v>
      </c>
      <c r="X11" s="82" t="s">
        <v>149</v>
      </c>
    </row>
    <row r="12" spans="1:24" ht="15.75" customHeight="1">
      <c r="A12" s="9" t="s">
        <v>7</v>
      </c>
      <c r="B12" s="78">
        <v>29.753343744797167</v>
      </c>
      <c r="C12" s="78">
        <v>29.772302948303871</v>
      </c>
      <c r="D12" s="78">
        <v>30.215294238039231</v>
      </c>
      <c r="E12" s="78">
        <v>30.967409579082204</v>
      </c>
      <c r="F12" s="78">
        <v>32.24367315674553</v>
      </c>
      <c r="G12" s="78">
        <v>31.364596027735757</v>
      </c>
      <c r="H12" s="78">
        <v>28.2</v>
      </c>
      <c r="I12" s="78">
        <v>29.194978920271137</v>
      </c>
      <c r="J12" s="44">
        <v>28.064042784108938</v>
      </c>
      <c r="K12" s="148">
        <v>28.313970308935861</v>
      </c>
      <c r="L12" s="148">
        <v>28.185364288089374</v>
      </c>
      <c r="M12" s="148">
        <v>30.27804346324201</v>
      </c>
      <c r="N12" s="148">
        <v>30.217920539228583</v>
      </c>
      <c r="O12" s="148">
        <v>33.823878315455964</v>
      </c>
      <c r="P12" s="148">
        <v>34.915529908803535</v>
      </c>
      <c r="Q12" s="44">
        <v>31.550358272115091</v>
      </c>
      <c r="R12" s="44">
        <v>35.936671184283085</v>
      </c>
      <c r="S12" s="44">
        <v>34.051906021010822</v>
      </c>
      <c r="T12" s="44">
        <v>34.355713073629325</v>
      </c>
      <c r="U12" s="44">
        <v>37.359128031708252</v>
      </c>
      <c r="V12" s="44">
        <v>35.671580653240966</v>
      </c>
      <c r="W12" s="44">
        <v>37.87555654049816</v>
      </c>
      <c r="X12" s="44">
        <v>37.174434996429575</v>
      </c>
    </row>
    <row r="13" spans="1:24" ht="15.75" customHeight="1">
      <c r="A13" s="9" t="s">
        <v>369</v>
      </c>
      <c r="B13" s="82" t="s">
        <v>149</v>
      </c>
      <c r="C13" s="82" t="s">
        <v>149</v>
      </c>
      <c r="D13" s="82" t="s">
        <v>149</v>
      </c>
      <c r="E13" s="82" t="s">
        <v>149</v>
      </c>
      <c r="F13" s="82" t="s">
        <v>149</v>
      </c>
      <c r="G13" s="82" t="s">
        <v>149</v>
      </c>
      <c r="H13" s="82" t="s">
        <v>149</v>
      </c>
      <c r="I13" s="82" t="s">
        <v>149</v>
      </c>
      <c r="J13" s="82" t="s">
        <v>149</v>
      </c>
      <c r="K13" s="82" t="s">
        <v>149</v>
      </c>
      <c r="L13" s="82" t="s">
        <v>149</v>
      </c>
      <c r="M13" s="148">
        <v>2</v>
      </c>
      <c r="N13" s="71">
        <v>2.2999999999999998</v>
      </c>
      <c r="O13" s="71">
        <v>2.2999999999999998</v>
      </c>
      <c r="P13" s="71">
        <v>2.4</v>
      </c>
      <c r="Q13" s="82">
        <v>2.4</v>
      </c>
      <c r="R13" s="82">
        <v>2.74</v>
      </c>
      <c r="S13" s="82">
        <v>2.5099999999999998</v>
      </c>
      <c r="T13" s="82">
        <v>2.6</v>
      </c>
      <c r="U13" s="82">
        <v>2.6</v>
      </c>
      <c r="V13" s="44">
        <v>2.8</v>
      </c>
      <c r="W13" s="44">
        <v>2.8</v>
      </c>
      <c r="X13" s="44">
        <v>3.11</v>
      </c>
    </row>
    <row r="14" spans="1:24" ht="15.75" customHeight="1">
      <c r="A14" s="9" t="s">
        <v>363</v>
      </c>
      <c r="B14" s="82" t="s">
        <v>149</v>
      </c>
      <c r="C14" s="82" t="s">
        <v>149</v>
      </c>
      <c r="D14" s="82" t="s">
        <v>149</v>
      </c>
      <c r="E14" s="82" t="s">
        <v>149</v>
      </c>
      <c r="F14" s="82" t="s">
        <v>149</v>
      </c>
      <c r="G14" s="82" t="s">
        <v>149</v>
      </c>
      <c r="H14" s="82" t="s">
        <v>149</v>
      </c>
      <c r="I14" s="82" t="s">
        <v>149</v>
      </c>
      <c r="J14" s="82" t="s">
        <v>149</v>
      </c>
      <c r="K14" s="82" t="s">
        <v>149</v>
      </c>
      <c r="L14" s="82" t="s">
        <v>149</v>
      </c>
      <c r="M14" s="82" t="s">
        <v>149</v>
      </c>
      <c r="N14" s="78">
        <v>6.6</v>
      </c>
      <c r="O14" s="78">
        <v>7.3</v>
      </c>
      <c r="P14" s="78">
        <v>7.7177805566111966</v>
      </c>
      <c r="Q14" s="82">
        <v>7.8</v>
      </c>
      <c r="R14" s="82">
        <v>7.8</v>
      </c>
      <c r="S14" s="82" t="s">
        <v>149</v>
      </c>
      <c r="T14" s="82" t="s">
        <v>149</v>
      </c>
      <c r="U14" s="71">
        <v>28.199999999999996</v>
      </c>
      <c r="V14" s="71">
        <v>8.49</v>
      </c>
      <c r="W14" s="71">
        <v>29.6</v>
      </c>
      <c r="X14" s="71">
        <v>27.6</v>
      </c>
    </row>
    <row r="15" spans="1:24" ht="15.75" customHeight="1">
      <c r="A15" s="9" t="s">
        <v>8</v>
      </c>
      <c r="B15" s="78">
        <v>11.7982974003334</v>
      </c>
      <c r="C15" s="78">
        <v>11.63747865536612</v>
      </c>
      <c r="D15" s="78">
        <v>10.984331098164779</v>
      </c>
      <c r="E15" s="78">
        <v>10.971804912369738</v>
      </c>
      <c r="F15" s="78">
        <v>13.449749160470398</v>
      </c>
      <c r="G15" s="78">
        <v>12.9</v>
      </c>
      <c r="H15" s="78">
        <v>14.2</v>
      </c>
      <c r="I15" s="78">
        <v>12.752746681498319</v>
      </c>
      <c r="J15" s="78">
        <v>13.424640935449464</v>
      </c>
      <c r="K15" s="78">
        <v>15.456455455123857</v>
      </c>
      <c r="L15" s="78">
        <v>15.428667398974078</v>
      </c>
      <c r="M15" s="78">
        <v>15.372633516512721</v>
      </c>
      <c r="N15" s="78">
        <v>15.689691522805798</v>
      </c>
      <c r="O15" s="78">
        <v>15.34</v>
      </c>
      <c r="P15" s="78">
        <v>17.28</v>
      </c>
      <c r="Q15" s="44">
        <v>17.510000000000002</v>
      </c>
      <c r="R15" s="44">
        <v>18.53</v>
      </c>
      <c r="S15" s="44">
        <v>17.05</v>
      </c>
      <c r="T15" s="44">
        <v>18.239999999999998</v>
      </c>
      <c r="U15" s="44">
        <v>19.39</v>
      </c>
      <c r="V15" s="44">
        <v>21.07</v>
      </c>
      <c r="W15" s="44">
        <v>22.63</v>
      </c>
      <c r="X15" s="44">
        <v>23.52</v>
      </c>
    </row>
    <row r="16" spans="1:24" ht="15.75" customHeight="1">
      <c r="A16" s="9" t="s">
        <v>82</v>
      </c>
      <c r="B16" s="78">
        <v>14.585778615292433</v>
      </c>
      <c r="C16" s="78">
        <v>14.806001378469086</v>
      </c>
      <c r="D16" s="78">
        <v>15.292475709644455</v>
      </c>
      <c r="E16" s="78">
        <v>18.922752059636142</v>
      </c>
      <c r="F16" s="78">
        <v>20.815514072663564</v>
      </c>
      <c r="G16" s="78">
        <v>20.837196617846999</v>
      </c>
      <c r="H16" s="78">
        <v>23.6</v>
      </c>
      <c r="I16" s="78">
        <v>24.357287937105177</v>
      </c>
      <c r="J16" s="146">
        <v>24.393221025529808</v>
      </c>
      <c r="K16" s="146">
        <v>24.924141007526831</v>
      </c>
      <c r="L16" s="146">
        <v>26.262561668277606</v>
      </c>
      <c r="M16" s="146">
        <v>27.967117154910554</v>
      </c>
      <c r="N16" s="146">
        <v>29.018991771359548</v>
      </c>
      <c r="O16" s="146">
        <v>34.008722546104863</v>
      </c>
      <c r="P16" s="146">
        <v>35.494657846885531</v>
      </c>
      <c r="Q16" s="44">
        <v>37.585159652726944</v>
      </c>
      <c r="R16" s="44">
        <v>35.444885811101237</v>
      </c>
      <c r="S16" s="44">
        <v>33.649050524948585</v>
      </c>
      <c r="T16" s="44">
        <v>36.32164299292873</v>
      </c>
      <c r="U16" s="44">
        <v>40.302765932058897</v>
      </c>
      <c r="V16" s="44">
        <v>37.7914325317387</v>
      </c>
      <c r="W16" s="44">
        <v>38.556021443835903</v>
      </c>
      <c r="X16" s="44">
        <v>39.195023403331298</v>
      </c>
    </row>
    <row r="17" spans="1:24" ht="15.75" customHeight="1">
      <c r="A17" s="9" t="s">
        <v>9</v>
      </c>
      <c r="B17" s="78">
        <v>21.679824113856871</v>
      </c>
      <c r="C17" s="78">
        <v>22.436243723764729</v>
      </c>
      <c r="D17" s="78">
        <v>25.165738112066212</v>
      </c>
      <c r="E17" s="78">
        <v>26.049052910934662</v>
      </c>
      <c r="F17" s="78">
        <v>27.676220121665658</v>
      </c>
      <c r="G17" s="78">
        <v>30.579234127278831</v>
      </c>
      <c r="H17" s="78">
        <v>33.4</v>
      </c>
      <c r="I17" s="78">
        <v>35.689463213309672</v>
      </c>
      <c r="J17" s="82" t="s">
        <v>149</v>
      </c>
      <c r="K17" s="148">
        <v>44.156311600131495</v>
      </c>
      <c r="L17" s="148">
        <v>47.2</v>
      </c>
      <c r="M17" s="148">
        <v>43.136757588056859</v>
      </c>
      <c r="N17" s="148">
        <v>39.422346954196811</v>
      </c>
      <c r="O17" s="148">
        <v>44.1</v>
      </c>
      <c r="P17" s="148">
        <v>45.80686902672992</v>
      </c>
      <c r="Q17" s="44">
        <v>45.588261156298088</v>
      </c>
      <c r="R17" s="44">
        <v>53.98720497135492</v>
      </c>
      <c r="S17" s="44">
        <v>46.018923652241178</v>
      </c>
      <c r="T17" s="44">
        <v>47.324323709134404</v>
      </c>
      <c r="U17" s="44">
        <v>51.218751113163009</v>
      </c>
      <c r="V17" s="44">
        <v>54.489012774801871</v>
      </c>
      <c r="W17" s="44">
        <v>50.665560638939702</v>
      </c>
      <c r="X17" s="44">
        <v>51.214766124696695</v>
      </c>
    </row>
    <row r="18" spans="1:24" ht="5.0999999999999996" customHeight="1">
      <c r="A18" s="9"/>
      <c r="B18" s="425"/>
      <c r="C18" s="425"/>
      <c r="D18" s="425"/>
      <c r="E18" s="425"/>
      <c r="F18" s="425"/>
      <c r="G18" s="425"/>
      <c r="H18" s="71"/>
      <c r="I18" s="71"/>
      <c r="J18" s="140"/>
      <c r="K18" s="140"/>
      <c r="L18" s="140"/>
      <c r="M18" s="140"/>
      <c r="N18" s="140"/>
      <c r="O18" s="140"/>
      <c r="P18" s="140"/>
      <c r="Q18" s="140"/>
      <c r="R18" s="140"/>
      <c r="S18" s="140"/>
      <c r="T18" s="7"/>
      <c r="U18" s="7"/>
      <c r="V18" s="7"/>
      <c r="W18" s="7"/>
      <c r="X18" s="7"/>
    </row>
    <row r="19" spans="1:24" s="84" customFormat="1" ht="15.75" customHeight="1">
      <c r="A19" s="85" t="s">
        <v>10</v>
      </c>
      <c r="B19" s="423">
        <v>23.433378093919842</v>
      </c>
      <c r="C19" s="423">
        <v>23.42720954334121</v>
      </c>
      <c r="D19" s="423">
        <v>24.421225032602159</v>
      </c>
      <c r="E19" s="423">
        <v>25.807551508154059</v>
      </c>
      <c r="F19" s="423">
        <v>27.140155481018454</v>
      </c>
      <c r="G19" s="423">
        <v>27.604649979225215</v>
      </c>
      <c r="H19" s="423">
        <v>26.6</v>
      </c>
      <c r="I19" s="423">
        <v>37.388082136082303</v>
      </c>
      <c r="J19" s="423"/>
      <c r="K19" s="423"/>
      <c r="L19" s="423"/>
      <c r="M19" s="423"/>
      <c r="N19" s="423"/>
      <c r="O19" s="423"/>
      <c r="P19" s="423"/>
      <c r="Q19" s="457"/>
      <c r="R19" s="457"/>
      <c r="S19" s="457"/>
      <c r="T19" s="458"/>
      <c r="U19" s="458"/>
      <c r="V19" s="458"/>
      <c r="W19" s="458"/>
      <c r="X19" s="458"/>
    </row>
    <row r="20" spans="1:24" ht="14.1" customHeight="1">
      <c r="A20" s="9"/>
      <c r="B20" s="87"/>
      <c r="C20" s="87"/>
      <c r="D20" s="87"/>
      <c r="E20" s="87"/>
      <c r="G20" s="87"/>
    </row>
    <row r="21" spans="1:24">
      <c r="A21" s="88" t="s">
        <v>395</v>
      </c>
      <c r="B21" s="90"/>
      <c r="C21" s="90"/>
      <c r="D21" s="90"/>
      <c r="E21" s="90"/>
      <c r="G21" s="90"/>
    </row>
    <row r="22" spans="1:24">
      <c r="A22" s="88" t="s">
        <v>453</v>
      </c>
    </row>
  </sheetData>
  <phoneticPr fontId="9" type="noConversion"/>
  <pageMargins left="0.74803149606299213" right="0.74803149606299213" top="0.98425196850393704" bottom="0.98425196850393704" header="0.51181102362204722" footer="0.51181102362204722"/>
  <pageSetup scale="76" orientation="landscape" r:id="rId1"/>
  <headerFooter alignWithMargins="0">
    <oddHeader>&amp;A</oddHeader>
    <oddFooter>&amp;L&amp;F&amp;R&amp;D</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X22"/>
  <sheetViews>
    <sheetView showGridLines="0" zoomScale="90" zoomScaleNormal="90" workbookViewId="0"/>
  </sheetViews>
  <sheetFormatPr baseColWidth="10" defaultRowHeight="15"/>
  <cols>
    <col min="1" max="1" width="12.625" style="13" customWidth="1"/>
    <col min="2" max="3" width="10.625" style="13" customWidth="1"/>
    <col min="4" max="4" width="8.875" style="13" customWidth="1"/>
    <col min="5" max="5" width="9" style="13" customWidth="1"/>
    <col min="6" max="6" width="8.875" style="13" customWidth="1"/>
    <col min="7" max="7" width="9.125" style="13" customWidth="1"/>
    <col min="8" max="9" width="11" style="13"/>
    <col min="10" max="14" width="10.625" style="13" customWidth="1"/>
    <col min="15" max="16384" width="11" style="13"/>
  </cols>
  <sheetData>
    <row r="1" spans="1:24" ht="15.75" customHeight="1">
      <c r="A1" s="10" t="s">
        <v>306</v>
      </c>
      <c r="B1" s="75"/>
      <c r="C1" s="75"/>
      <c r="D1" s="75"/>
      <c r="E1" s="75"/>
      <c r="G1" s="75"/>
    </row>
    <row r="2" spans="1:24" ht="15.75" customHeight="1">
      <c r="A2" s="12" t="s">
        <v>139</v>
      </c>
      <c r="B2" s="75"/>
      <c r="C2" s="75"/>
      <c r="D2" s="75"/>
      <c r="E2" s="75"/>
      <c r="G2" s="75"/>
    </row>
    <row r="3" spans="1:24" ht="8.25" customHeight="1">
      <c r="A3" s="12"/>
      <c r="B3" s="75"/>
      <c r="C3" s="75"/>
      <c r="D3" s="75"/>
      <c r="E3" s="75"/>
      <c r="G3" s="75"/>
    </row>
    <row r="4" spans="1:24" s="76" customFormat="1" ht="37.5" customHeight="1">
      <c r="A4" s="27" t="s">
        <v>0</v>
      </c>
      <c r="B4" s="77" t="s">
        <v>121</v>
      </c>
      <c r="C4" s="77" t="s">
        <v>119</v>
      </c>
      <c r="D4" s="77" t="s">
        <v>124</v>
      </c>
      <c r="E4" s="77" t="s">
        <v>141</v>
      </c>
      <c r="F4" s="77" t="s">
        <v>160</v>
      </c>
      <c r="G4" s="77" t="s">
        <v>177</v>
      </c>
      <c r="H4" s="77" t="s">
        <v>186</v>
      </c>
      <c r="I4" s="77" t="s">
        <v>188</v>
      </c>
      <c r="J4" s="77" t="s">
        <v>199</v>
      </c>
      <c r="K4" s="77" t="s">
        <v>200</v>
      </c>
      <c r="L4" s="77" t="s">
        <v>201</v>
      </c>
      <c r="M4" s="77" t="s">
        <v>202</v>
      </c>
      <c r="N4" s="77" t="s">
        <v>354</v>
      </c>
      <c r="O4" s="77" t="s">
        <v>371</v>
      </c>
      <c r="P4" s="77" t="s">
        <v>383</v>
      </c>
      <c r="Q4" s="77" t="s">
        <v>401</v>
      </c>
      <c r="R4" s="77" t="s">
        <v>440</v>
      </c>
      <c r="S4" s="77" t="s">
        <v>465</v>
      </c>
      <c r="T4" s="77" t="s">
        <v>477</v>
      </c>
      <c r="U4" s="77" t="s">
        <v>488</v>
      </c>
      <c r="V4" s="77" t="s">
        <v>499</v>
      </c>
      <c r="W4" s="77" t="s">
        <v>518</v>
      </c>
      <c r="X4" s="77" t="s">
        <v>530</v>
      </c>
    </row>
    <row r="5" spans="1:24" s="76" customFormat="1" ht="5.0999999999999996" customHeight="1">
      <c r="A5" s="18"/>
      <c r="B5" s="18"/>
      <c r="C5" s="18"/>
      <c r="D5" s="18"/>
      <c r="E5" s="18"/>
      <c r="G5" s="18"/>
    </row>
    <row r="6" spans="1:24" ht="15.75" hidden="1" customHeight="1">
      <c r="A6" s="9" t="s">
        <v>2</v>
      </c>
      <c r="B6" s="78">
        <v>35.204882765998974</v>
      </c>
      <c r="C6" s="78">
        <v>35.382251951014439</v>
      </c>
      <c r="D6" s="78">
        <v>40.32648010203539</v>
      </c>
      <c r="E6" s="78">
        <v>40.359772067124084</v>
      </c>
      <c r="F6" s="78">
        <v>40.602128727653955</v>
      </c>
      <c r="G6" s="79"/>
      <c r="H6" s="79"/>
      <c r="I6" s="79"/>
      <c r="J6" s="80"/>
      <c r="K6" s="80"/>
      <c r="L6" s="80"/>
      <c r="M6" s="80"/>
      <c r="N6" s="80"/>
    </row>
    <row r="7" spans="1:24" ht="15.75" hidden="1" customHeight="1">
      <c r="A7" s="9" t="s">
        <v>3</v>
      </c>
      <c r="B7" s="78">
        <v>38.985984654247972</v>
      </c>
      <c r="C7" s="78">
        <v>44.914572097688485</v>
      </c>
      <c r="D7" s="78">
        <v>47.485186834263793</v>
      </c>
      <c r="E7" s="78">
        <v>50.092267992764171</v>
      </c>
      <c r="F7" s="78">
        <v>47.303338052762349</v>
      </c>
      <c r="G7" s="78">
        <v>43.105812460684348</v>
      </c>
      <c r="H7" s="78">
        <v>43.2</v>
      </c>
      <c r="I7" s="79"/>
      <c r="J7" s="80"/>
      <c r="K7" s="80"/>
      <c r="L7" s="80"/>
      <c r="M7" s="80"/>
      <c r="N7" s="80"/>
    </row>
    <row r="8" spans="1:24" ht="15.75" customHeight="1">
      <c r="A8" s="9" t="s">
        <v>4</v>
      </c>
      <c r="B8" s="78">
        <v>51.852887181057383</v>
      </c>
      <c r="C8" s="78">
        <v>50.445453705777702</v>
      </c>
      <c r="D8" s="78">
        <v>51.175034545918287</v>
      </c>
      <c r="E8" s="78">
        <v>51.500191775804907</v>
      </c>
      <c r="F8" s="78">
        <v>53.82291571355259</v>
      </c>
      <c r="G8" s="78">
        <v>54.611414187561024</v>
      </c>
      <c r="H8" s="78">
        <v>51.7</v>
      </c>
      <c r="I8" s="78">
        <v>54.54294264425782</v>
      </c>
      <c r="J8" s="44">
        <v>55.9</v>
      </c>
      <c r="K8" s="44">
        <v>56.491728443331617</v>
      </c>
      <c r="L8" s="44">
        <v>56.053943245220388</v>
      </c>
      <c r="M8" s="44">
        <v>56.224865892430557</v>
      </c>
      <c r="N8" s="44">
        <v>56.049787376118303</v>
      </c>
      <c r="O8" s="44">
        <v>55.915402335348737</v>
      </c>
      <c r="P8" s="44">
        <v>55.234480291018897</v>
      </c>
      <c r="Q8" s="44">
        <v>55.770392873420221</v>
      </c>
      <c r="R8" s="44">
        <v>55.593224827445141</v>
      </c>
      <c r="S8" s="44">
        <v>53.849165830052677</v>
      </c>
      <c r="T8" s="44">
        <v>56.665122160517299</v>
      </c>
      <c r="U8" s="44">
        <v>55.911992966574779</v>
      </c>
      <c r="V8" s="44">
        <v>53.023959237195143</v>
      </c>
      <c r="W8" s="44">
        <v>54.04219274814762</v>
      </c>
      <c r="X8" s="44">
        <v>53.905182302162622</v>
      </c>
    </row>
    <row r="9" spans="1:24" ht="15.75" customHeight="1">
      <c r="A9" s="9" t="s">
        <v>5</v>
      </c>
      <c r="B9" s="78">
        <v>48.698960276983236</v>
      </c>
      <c r="C9" s="78">
        <v>38.986316585806854</v>
      </c>
      <c r="D9" s="78">
        <v>38.638566070443055</v>
      </c>
      <c r="E9" s="78">
        <v>41.994571691572688</v>
      </c>
      <c r="F9" s="78">
        <v>45.070576816150933</v>
      </c>
      <c r="G9" s="78">
        <v>44.817696072744639</v>
      </c>
      <c r="H9" s="78">
        <v>45.6</v>
      </c>
      <c r="I9" s="78">
        <v>46.194488233653225</v>
      </c>
      <c r="J9" s="44">
        <v>42.924712576471464</v>
      </c>
      <c r="K9" s="44">
        <v>40.609145210278236</v>
      </c>
      <c r="L9" s="44">
        <v>38.820483140644193</v>
      </c>
      <c r="M9" s="44">
        <v>42.02418268740729</v>
      </c>
      <c r="N9" s="44">
        <v>38.335685761433503</v>
      </c>
      <c r="O9" s="44">
        <v>32.870255083863398</v>
      </c>
      <c r="P9" s="44">
        <v>35.926051648144899</v>
      </c>
      <c r="Q9" s="82" t="s">
        <v>149</v>
      </c>
      <c r="R9" s="82" t="s">
        <v>149</v>
      </c>
      <c r="S9" s="82" t="s">
        <v>149</v>
      </c>
      <c r="T9" s="459">
        <v>38.727400142498269</v>
      </c>
      <c r="U9" s="459">
        <v>39.691055369994011</v>
      </c>
      <c r="V9" s="459">
        <v>40.204396269652243</v>
      </c>
      <c r="W9" s="459">
        <v>39.485039665929698</v>
      </c>
      <c r="X9" s="459">
        <v>40.139285000000001</v>
      </c>
    </row>
    <row r="10" spans="1:24" ht="15.75" customHeight="1">
      <c r="A10" s="9" t="s">
        <v>50</v>
      </c>
      <c r="B10" s="78">
        <v>73.085583511180928</v>
      </c>
      <c r="C10" s="78">
        <v>68.135309036589547</v>
      </c>
      <c r="D10" s="78">
        <v>65.3037272937609</v>
      </c>
      <c r="E10" s="78">
        <v>65.613094956330471</v>
      </c>
      <c r="F10" s="78">
        <v>68.40048469240557</v>
      </c>
      <c r="G10" s="78">
        <v>68.397574397820506</v>
      </c>
      <c r="H10" s="460">
        <v>47.350654448775536</v>
      </c>
      <c r="I10" s="460">
        <v>43.186087352939651</v>
      </c>
      <c r="J10" s="459">
        <v>44.615961325939949</v>
      </c>
      <c r="K10" s="459">
        <v>42.838755027342621</v>
      </c>
      <c r="L10" s="459">
        <v>43.711673417798352</v>
      </c>
      <c r="M10" s="459">
        <v>43.377450381232578</v>
      </c>
      <c r="N10" s="459">
        <v>42.879606769014309</v>
      </c>
      <c r="O10" s="459">
        <v>42.90364504794465</v>
      </c>
      <c r="P10" s="459">
        <v>42.222832555158838</v>
      </c>
      <c r="Q10" s="459">
        <v>41.381672155449841</v>
      </c>
      <c r="R10" s="459">
        <v>41.168155139197502</v>
      </c>
      <c r="S10" s="459">
        <v>41.734455023784747</v>
      </c>
      <c r="T10" s="459">
        <v>42.792592608047649</v>
      </c>
      <c r="U10" s="459">
        <v>43.069157537044667</v>
      </c>
      <c r="V10" s="459">
        <v>43.201236216697488</v>
      </c>
      <c r="W10" s="459">
        <v>43.466719660685413</v>
      </c>
      <c r="X10" s="459">
        <v>43.646719172600299</v>
      </c>
    </row>
    <row r="11" spans="1:24" ht="15.75" customHeight="1">
      <c r="A11" s="9" t="s">
        <v>6</v>
      </c>
      <c r="B11" s="78">
        <v>45.785966032352007</v>
      </c>
      <c r="C11" s="78">
        <v>41.944724936182176</v>
      </c>
      <c r="D11" s="78">
        <v>39.511719024719589</v>
      </c>
      <c r="E11" s="78">
        <v>37.452503488758751</v>
      </c>
      <c r="F11" s="78">
        <v>35.880043813829218</v>
      </c>
      <c r="G11" s="78">
        <v>31.64334962032185</v>
      </c>
      <c r="H11" s="78">
        <v>28.272807145995021</v>
      </c>
      <c r="I11" s="78">
        <v>28.280290299475041</v>
      </c>
      <c r="J11" s="78">
        <v>27.329223543758914</v>
      </c>
      <c r="K11" s="78">
        <v>26.520648675593112</v>
      </c>
      <c r="L11" s="78">
        <v>26.189652896345901</v>
      </c>
      <c r="M11" s="78">
        <v>24.98291244587049</v>
      </c>
      <c r="N11" s="78">
        <v>24.735805212630851</v>
      </c>
      <c r="O11" s="428">
        <v>24.299462363205119</v>
      </c>
      <c r="P11" s="428">
        <v>23.197402050539296</v>
      </c>
      <c r="Q11" s="78">
        <v>22.651568382680889</v>
      </c>
      <c r="R11" s="44">
        <v>21.874196260168794</v>
      </c>
      <c r="S11" s="44">
        <v>20.854086790857906</v>
      </c>
      <c r="T11" s="44">
        <v>22.3</v>
      </c>
      <c r="U11" s="82" t="s">
        <v>149</v>
      </c>
      <c r="V11" s="82" t="s">
        <v>149</v>
      </c>
      <c r="W11" s="82" t="s">
        <v>149</v>
      </c>
      <c r="X11" s="82" t="s">
        <v>149</v>
      </c>
    </row>
    <row r="12" spans="1:24" ht="15.75" customHeight="1">
      <c r="A12" s="9" t="s">
        <v>7</v>
      </c>
      <c r="B12" s="78">
        <v>39.340689398619041</v>
      </c>
      <c r="C12" s="78">
        <v>38.782020671300486</v>
      </c>
      <c r="D12" s="78">
        <v>37.573234489369909</v>
      </c>
      <c r="E12" s="78">
        <v>36.793706675829924</v>
      </c>
      <c r="F12" s="78">
        <v>38.176756265296056</v>
      </c>
      <c r="G12" s="78">
        <v>36.27374185793861</v>
      </c>
      <c r="H12" s="78">
        <v>33.299999999999997</v>
      </c>
      <c r="I12" s="78">
        <v>33.368904897723048</v>
      </c>
      <c r="J12" s="44">
        <v>33.516949354876793</v>
      </c>
      <c r="K12" s="44">
        <v>29.940285974946669</v>
      </c>
      <c r="L12" s="44">
        <v>29.012153463337764</v>
      </c>
      <c r="M12" s="44">
        <v>29.922029856099524</v>
      </c>
      <c r="N12" s="44">
        <v>29.91524181077742</v>
      </c>
      <c r="O12" s="44">
        <v>31.909248413172371</v>
      </c>
      <c r="P12" s="44">
        <v>31.827839005669112</v>
      </c>
      <c r="Q12" s="44">
        <v>28.109941992805688</v>
      </c>
      <c r="R12" s="44">
        <v>31.454137658609248</v>
      </c>
      <c r="S12" s="44">
        <v>27.920255297004797</v>
      </c>
      <c r="T12" s="44">
        <v>28.661391273733685</v>
      </c>
      <c r="U12" s="44">
        <v>30.721551966665483</v>
      </c>
      <c r="V12" s="44">
        <v>29.183076714991575</v>
      </c>
      <c r="W12" s="590">
        <v>33.529993946832157</v>
      </c>
      <c r="X12" s="590">
        <v>32.97482168631872</v>
      </c>
    </row>
    <row r="13" spans="1:24" ht="15.75" customHeight="1">
      <c r="A13" s="9" t="s">
        <v>369</v>
      </c>
      <c r="B13" s="82" t="s">
        <v>149</v>
      </c>
      <c r="C13" s="82" t="s">
        <v>149</v>
      </c>
      <c r="D13" s="82" t="s">
        <v>149</v>
      </c>
      <c r="E13" s="82" t="s">
        <v>149</v>
      </c>
      <c r="F13" s="82" t="s">
        <v>149</v>
      </c>
      <c r="G13" s="82" t="s">
        <v>149</v>
      </c>
      <c r="H13" s="78">
        <v>100</v>
      </c>
      <c r="I13" s="82" t="s">
        <v>149</v>
      </c>
      <c r="J13" s="82" t="s">
        <v>149</v>
      </c>
      <c r="K13" s="82" t="s">
        <v>149</v>
      </c>
      <c r="L13" s="82" t="s">
        <v>149</v>
      </c>
      <c r="M13" s="44">
        <v>54.02</v>
      </c>
      <c r="N13" s="44">
        <v>59.6</v>
      </c>
      <c r="O13" s="44">
        <v>61.1</v>
      </c>
      <c r="P13" s="44">
        <v>61.3</v>
      </c>
      <c r="Q13" s="44">
        <v>78.2</v>
      </c>
      <c r="R13" s="44">
        <v>83.06</v>
      </c>
      <c r="S13" s="424">
        <v>77</v>
      </c>
      <c r="T13" s="424">
        <v>81.099999999999994</v>
      </c>
      <c r="U13" s="424">
        <v>75</v>
      </c>
      <c r="V13" s="44">
        <v>74.400000000000006</v>
      </c>
      <c r="W13" s="590">
        <v>69.7</v>
      </c>
      <c r="X13" s="590">
        <v>70.294698309546305</v>
      </c>
    </row>
    <row r="14" spans="1:24" ht="15.75" customHeight="1">
      <c r="A14" s="9" t="s">
        <v>363</v>
      </c>
      <c r="B14" s="82" t="s">
        <v>149</v>
      </c>
      <c r="C14" s="82" t="s">
        <v>149</v>
      </c>
      <c r="D14" s="82" t="s">
        <v>149</v>
      </c>
      <c r="E14" s="82" t="s">
        <v>149</v>
      </c>
      <c r="F14" s="82" t="s">
        <v>149</v>
      </c>
      <c r="G14" s="82" t="s">
        <v>149</v>
      </c>
      <c r="H14" s="82" t="s">
        <v>149</v>
      </c>
      <c r="I14" s="82" t="s">
        <v>149</v>
      </c>
      <c r="J14" s="82" t="s">
        <v>149</v>
      </c>
      <c r="K14" s="82" t="s">
        <v>149</v>
      </c>
      <c r="L14" s="82" t="s">
        <v>149</v>
      </c>
      <c r="M14" s="82" t="s">
        <v>149</v>
      </c>
      <c r="N14" s="78">
        <v>27.1</v>
      </c>
      <c r="O14" s="78">
        <v>29.7</v>
      </c>
      <c r="P14" s="428">
        <v>31.234165299910018</v>
      </c>
      <c r="Q14" s="44">
        <v>30.3</v>
      </c>
      <c r="R14" s="44">
        <v>30</v>
      </c>
      <c r="S14" s="82" t="s">
        <v>149</v>
      </c>
      <c r="T14" s="82" t="s">
        <v>149</v>
      </c>
      <c r="U14" s="82">
        <v>31.792831300946499</v>
      </c>
      <c r="V14" s="82" t="s">
        <v>149</v>
      </c>
      <c r="W14" s="590">
        <v>31</v>
      </c>
      <c r="X14" s="590">
        <v>30</v>
      </c>
    </row>
    <row r="15" spans="1:24" ht="15.75" customHeight="1">
      <c r="A15" s="9" t="s">
        <v>8</v>
      </c>
      <c r="B15" s="78">
        <v>41.860038972555394</v>
      </c>
      <c r="C15" s="78">
        <v>39.939835981074154</v>
      </c>
      <c r="D15" s="78">
        <v>36.243605775946172</v>
      </c>
      <c r="E15" s="78">
        <v>34.794194506444178</v>
      </c>
      <c r="F15" s="78">
        <v>41.422997956625842</v>
      </c>
      <c r="G15" s="78">
        <v>39.037095482813839</v>
      </c>
      <c r="H15" s="78">
        <v>42.436135122009759</v>
      </c>
      <c r="I15" s="78">
        <v>43.232892861390084</v>
      </c>
      <c r="J15" s="78">
        <v>43.4451812775932</v>
      </c>
      <c r="K15" s="78">
        <v>47.35731923027938</v>
      </c>
      <c r="L15" s="78">
        <v>45.958203281057031</v>
      </c>
      <c r="M15" s="78">
        <v>44.005139785941182</v>
      </c>
      <c r="N15" s="78">
        <v>43.408972795719784</v>
      </c>
      <c r="O15" s="78">
        <v>42.859161160025629</v>
      </c>
      <c r="P15" s="428">
        <v>45.060736511295275</v>
      </c>
      <c r="Q15" s="428">
        <v>42.659299077930591</v>
      </c>
      <c r="R15" s="428">
        <v>44.008341246215686</v>
      </c>
      <c r="S15" s="428">
        <v>39.061470010298535</v>
      </c>
      <c r="T15" s="428">
        <v>40.124106017261077</v>
      </c>
      <c r="U15" s="428">
        <v>40.805444095394172</v>
      </c>
      <c r="V15" s="428">
        <v>42.108851939863328</v>
      </c>
      <c r="W15" s="428">
        <v>43.049383203791784</v>
      </c>
      <c r="X15" s="428">
        <v>42.236956251962404</v>
      </c>
    </row>
    <row r="16" spans="1:24" ht="15.75" customHeight="1">
      <c r="A16" s="9" t="s">
        <v>82</v>
      </c>
      <c r="B16" s="78">
        <v>65.462754493322564</v>
      </c>
      <c r="C16" s="78">
        <v>53.468092580531845</v>
      </c>
      <c r="D16" s="78">
        <v>47.179669779800918</v>
      </c>
      <c r="E16" s="78">
        <v>52.581551812703331</v>
      </c>
      <c r="F16" s="78">
        <v>51.78235692033283</v>
      </c>
      <c r="G16" s="78">
        <v>48.1326742163738</v>
      </c>
      <c r="H16" s="78">
        <v>49.3</v>
      </c>
      <c r="I16" s="78">
        <v>48.58998463358644</v>
      </c>
      <c r="J16" s="78">
        <v>47.354235534923902</v>
      </c>
      <c r="K16" s="78">
        <v>46.265907210741105</v>
      </c>
      <c r="L16" s="78">
        <v>46.592193649682464</v>
      </c>
      <c r="M16" s="78">
        <v>47.924628909467032</v>
      </c>
      <c r="N16" s="78">
        <v>48.288477203359058</v>
      </c>
      <c r="O16" s="78">
        <v>48.053955995383447</v>
      </c>
      <c r="P16" s="44">
        <v>47.647012835311592</v>
      </c>
      <c r="Q16" s="44">
        <v>47.527344512564113</v>
      </c>
      <c r="R16" s="44">
        <v>46.456565994881807</v>
      </c>
      <c r="S16" s="44">
        <v>39.494733616798236</v>
      </c>
      <c r="T16" s="44">
        <v>42.740613693799368</v>
      </c>
      <c r="U16" s="44">
        <v>44.579442736286282</v>
      </c>
      <c r="V16" s="428">
        <v>41.265678764516302</v>
      </c>
      <c r="W16" s="428">
        <v>41.206832792052197</v>
      </c>
      <c r="X16" s="428">
        <v>40.294446110962902</v>
      </c>
    </row>
    <row r="17" spans="1:24" ht="15.75" customHeight="1">
      <c r="A17" s="9" t="s">
        <v>9</v>
      </c>
      <c r="B17" s="78">
        <v>52.731927635055229</v>
      </c>
      <c r="C17" s="78">
        <v>52.478575997235424</v>
      </c>
      <c r="D17" s="78">
        <v>55.65565419880658</v>
      </c>
      <c r="E17" s="78">
        <v>57.48647464090223</v>
      </c>
      <c r="F17" s="78">
        <v>58.627870459713328</v>
      </c>
      <c r="G17" s="78">
        <v>60.559537737025579</v>
      </c>
      <c r="H17" s="78">
        <v>60.3</v>
      </c>
      <c r="I17" s="78">
        <v>59.831504576567326</v>
      </c>
      <c r="J17" s="82" t="s">
        <v>149</v>
      </c>
      <c r="K17" s="44">
        <v>63.13063329757739</v>
      </c>
      <c r="L17" s="78">
        <v>63.104535592519881</v>
      </c>
      <c r="M17" s="78">
        <v>62.140366034164039</v>
      </c>
      <c r="N17" s="78">
        <v>55.196750210776422</v>
      </c>
      <c r="O17" s="78">
        <v>59.368011051986791</v>
      </c>
      <c r="P17" s="44">
        <v>58.892148740897234</v>
      </c>
      <c r="Q17" s="44">
        <v>58.601985698562089</v>
      </c>
      <c r="R17" s="44">
        <v>57.548598375868941</v>
      </c>
      <c r="S17" s="44">
        <v>55.769791226899457</v>
      </c>
      <c r="T17" s="44">
        <v>56.9618142851117</v>
      </c>
      <c r="U17" s="44">
        <v>59.809061292473807</v>
      </c>
      <c r="V17" s="44">
        <v>56.970858113527811</v>
      </c>
      <c r="W17" s="44">
        <v>56.036340557060917</v>
      </c>
      <c r="X17" s="44">
        <v>55.598782421837257</v>
      </c>
    </row>
    <row r="18" spans="1:24" ht="5.0999999999999996" customHeight="1">
      <c r="A18" s="9"/>
      <c r="B18" s="380"/>
      <c r="C18" s="380"/>
      <c r="D18" s="380"/>
      <c r="E18" s="380"/>
      <c r="F18" s="380"/>
      <c r="G18" s="380"/>
      <c r="H18" s="8"/>
      <c r="I18" s="8"/>
      <c r="J18" s="7"/>
      <c r="K18" s="7"/>
      <c r="L18" s="7"/>
      <c r="M18" s="7"/>
      <c r="N18" s="7"/>
      <c r="O18" s="7"/>
      <c r="P18" s="7"/>
      <c r="Q18" s="7"/>
      <c r="R18" s="7"/>
      <c r="S18" s="7"/>
    </row>
    <row r="19" spans="1:24" s="84" customFormat="1" ht="15.75" customHeight="1">
      <c r="A19" s="85" t="s">
        <v>10</v>
      </c>
      <c r="B19" s="423">
        <v>42.31805570631402</v>
      </c>
      <c r="C19" s="423">
        <v>40.708068364884561</v>
      </c>
      <c r="D19" s="423">
        <v>40.589057289710226</v>
      </c>
      <c r="E19" s="423">
        <v>40.582936913294901</v>
      </c>
      <c r="F19" s="423">
        <v>42.299735522142214</v>
      </c>
      <c r="G19" s="423">
        <v>41.367516990045218</v>
      </c>
      <c r="H19" s="423">
        <v>39.4</v>
      </c>
      <c r="I19" s="423">
        <v>39.700000000000003</v>
      </c>
      <c r="J19" s="423"/>
      <c r="K19" s="423"/>
      <c r="L19" s="423"/>
      <c r="M19" s="423"/>
      <c r="N19" s="423"/>
      <c r="O19" s="423"/>
      <c r="P19" s="423"/>
      <c r="Q19" s="423"/>
      <c r="R19" s="423"/>
      <c r="S19" s="423"/>
      <c r="T19" s="423"/>
      <c r="U19" s="423"/>
      <c r="V19" s="423"/>
      <c r="W19" s="423"/>
      <c r="X19" s="423"/>
    </row>
    <row r="20" spans="1:24" ht="6.75" customHeight="1">
      <c r="A20" s="9"/>
      <c r="B20" s="87"/>
      <c r="C20" s="87"/>
      <c r="D20" s="87"/>
      <c r="E20" s="87"/>
      <c r="G20" s="87"/>
    </row>
    <row r="21" spans="1:24">
      <c r="A21" s="10" t="s">
        <v>45</v>
      </c>
    </row>
    <row r="22" spans="1:24">
      <c r="A22" s="88" t="s">
        <v>395</v>
      </c>
    </row>
  </sheetData>
  <phoneticPr fontId="9" type="noConversion"/>
  <pageMargins left="0.74803149606299213" right="0.74803149606299213" top="0.98425196850393704" bottom="0.98425196850393704" header="0.51181102362204722" footer="0.51181102362204722"/>
  <pageSetup scale="78" orientation="landscape" r:id="rId1"/>
  <headerFooter alignWithMargins="0">
    <oddHeader>&amp;A</oddHeader>
    <oddFooter>&amp;L&amp;F&amp;R&amp;D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X29"/>
  <sheetViews>
    <sheetView showGridLines="0" zoomScale="90" zoomScaleNormal="90" workbookViewId="0"/>
  </sheetViews>
  <sheetFormatPr baseColWidth="10" defaultRowHeight="15"/>
  <cols>
    <col min="1" max="1" width="12.625" style="13" customWidth="1"/>
    <col min="2" max="2" width="9.375" style="13" customWidth="1"/>
    <col min="3" max="3" width="9.125" style="13" customWidth="1"/>
    <col min="4" max="4" width="9" style="13" customWidth="1"/>
    <col min="5" max="5" width="8.875" style="13" customWidth="1"/>
    <col min="6" max="7" width="9" style="13" customWidth="1"/>
    <col min="8" max="9" width="11" style="13"/>
    <col min="10" max="15" width="9.625" style="13" customWidth="1"/>
    <col min="16" max="16384" width="11" style="13"/>
  </cols>
  <sheetData>
    <row r="1" spans="1:24" ht="15.75" customHeight="1">
      <c r="A1" s="10" t="s">
        <v>305</v>
      </c>
      <c r="B1" s="75"/>
      <c r="C1" s="75"/>
      <c r="D1" s="75"/>
      <c r="E1" s="75"/>
      <c r="G1" s="75"/>
    </row>
    <row r="2" spans="1:24" ht="15.75" customHeight="1">
      <c r="A2" s="12" t="s">
        <v>431</v>
      </c>
      <c r="B2" s="75"/>
      <c r="C2" s="75"/>
      <c r="D2" s="75"/>
      <c r="E2" s="75"/>
      <c r="G2" s="75"/>
    </row>
    <row r="3" spans="1:24" ht="9" customHeight="1">
      <c r="A3" s="12"/>
      <c r="B3" s="75"/>
      <c r="C3" s="75"/>
      <c r="D3" s="75"/>
      <c r="E3" s="75"/>
      <c r="G3" s="75"/>
    </row>
    <row r="4" spans="1:24" s="76" customFormat="1" ht="30.75" customHeight="1">
      <c r="A4" s="27" t="s">
        <v>0</v>
      </c>
      <c r="B4" s="77" t="s">
        <v>121</v>
      </c>
      <c r="C4" s="77" t="s">
        <v>119</v>
      </c>
      <c r="D4" s="77" t="s">
        <v>124</v>
      </c>
      <c r="E4" s="77" t="s">
        <v>141</v>
      </c>
      <c r="F4" s="77" t="s">
        <v>160</v>
      </c>
      <c r="G4" s="77" t="s">
        <v>177</v>
      </c>
      <c r="H4" s="77" t="s">
        <v>186</v>
      </c>
      <c r="I4" s="77" t="s">
        <v>188</v>
      </c>
      <c r="J4" s="77" t="s">
        <v>199</v>
      </c>
      <c r="K4" s="77" t="s">
        <v>200</v>
      </c>
      <c r="L4" s="77" t="s">
        <v>201</v>
      </c>
      <c r="M4" s="77" t="s">
        <v>202</v>
      </c>
      <c r="N4" s="77" t="s">
        <v>354</v>
      </c>
      <c r="O4" s="77" t="s">
        <v>371</v>
      </c>
      <c r="P4" s="77" t="s">
        <v>383</v>
      </c>
      <c r="Q4" s="77" t="s">
        <v>401</v>
      </c>
      <c r="R4" s="77" t="s">
        <v>440</v>
      </c>
      <c r="S4" s="77" t="s">
        <v>465</v>
      </c>
      <c r="T4" s="77" t="s">
        <v>477</v>
      </c>
      <c r="U4" s="77" t="s">
        <v>488</v>
      </c>
      <c r="V4" s="77" t="s">
        <v>499</v>
      </c>
      <c r="W4" s="77" t="s">
        <v>518</v>
      </c>
      <c r="X4" s="77" t="s">
        <v>530</v>
      </c>
    </row>
    <row r="5" spans="1:24" s="76" customFormat="1" ht="5.0999999999999996" customHeight="1">
      <c r="A5" s="18"/>
      <c r="B5" s="18"/>
      <c r="C5" s="18"/>
      <c r="D5" s="18"/>
      <c r="E5" s="18"/>
      <c r="G5" s="18"/>
    </row>
    <row r="6" spans="1:24" ht="15.75" hidden="1" customHeight="1">
      <c r="A6" s="9" t="s">
        <v>2</v>
      </c>
      <c r="B6" s="321">
        <v>341.45266781411357</v>
      </c>
      <c r="C6" s="321">
        <v>369.22946941534298</v>
      </c>
      <c r="D6" s="321">
        <v>449.03322259136212</v>
      </c>
      <c r="E6" s="321">
        <v>512.27719528178238</v>
      </c>
      <c r="F6" s="321">
        <v>641.65228507510392</v>
      </c>
      <c r="G6" s="322"/>
      <c r="H6" s="322"/>
      <c r="I6" s="322"/>
      <c r="J6" s="80"/>
      <c r="K6" s="80"/>
      <c r="L6" s="80"/>
      <c r="M6" s="80"/>
      <c r="N6" s="80"/>
    </row>
    <row r="7" spans="1:24" ht="15.75" hidden="1" customHeight="1">
      <c r="A7" s="9" t="s">
        <v>3</v>
      </c>
      <c r="B7" s="321">
        <v>280.98343448997275</v>
      </c>
      <c r="C7" s="321">
        <v>313.40683579446272</v>
      </c>
      <c r="D7" s="321">
        <v>316.4407256410372</v>
      </c>
      <c r="E7" s="321">
        <v>324.06710577886423</v>
      </c>
      <c r="F7" s="321">
        <v>364.96399408892489</v>
      </c>
      <c r="G7" s="321">
        <v>465.17356196556523</v>
      </c>
      <c r="H7" s="321">
        <v>93</v>
      </c>
      <c r="I7" s="322"/>
      <c r="J7" s="80"/>
      <c r="K7" s="80"/>
      <c r="L7" s="80"/>
      <c r="M7" s="80"/>
      <c r="N7" s="80"/>
    </row>
    <row r="8" spans="1:24" ht="15.75" customHeight="1">
      <c r="A8" s="9" t="s">
        <v>4</v>
      </c>
      <c r="B8" s="321">
        <v>538.55506904681715</v>
      </c>
      <c r="C8" s="321">
        <v>613.54861858629351</v>
      </c>
      <c r="D8" s="321">
        <v>681.01073170731706</v>
      </c>
      <c r="E8" s="321">
        <v>684.85696575818486</v>
      </c>
      <c r="F8" s="321">
        <v>794.03087202398922</v>
      </c>
      <c r="G8" s="321">
        <v>684.633847816757</v>
      </c>
      <c r="H8" s="321">
        <v>877</v>
      </c>
      <c r="I8" s="321">
        <v>1012.351346157952</v>
      </c>
      <c r="J8" s="82" t="s">
        <v>149</v>
      </c>
      <c r="K8" s="64">
        <v>1152.1730045967404</v>
      </c>
      <c r="L8" s="64">
        <v>1141.4827401863449</v>
      </c>
      <c r="M8" s="64">
        <v>1056.686094372551</v>
      </c>
      <c r="N8" s="64">
        <v>968.56250176718402</v>
      </c>
      <c r="O8" s="64">
        <v>1078.3317598045828</v>
      </c>
      <c r="P8" s="64">
        <v>1232.93943629921</v>
      </c>
      <c r="Q8" s="64">
        <v>1146.9447598786815</v>
      </c>
      <c r="R8" s="64">
        <v>1126.3704977035266</v>
      </c>
      <c r="S8" s="64">
        <v>1223.9764355210618</v>
      </c>
      <c r="T8" s="64">
        <v>1095.6095266098207</v>
      </c>
      <c r="U8" s="64">
        <v>1222.9281800095403</v>
      </c>
      <c r="V8" s="64">
        <v>1256.9556896805536</v>
      </c>
      <c r="W8" s="64">
        <v>1243.0028625569487</v>
      </c>
      <c r="X8" s="64">
        <v>1430.426479949077</v>
      </c>
    </row>
    <row r="9" spans="1:24" ht="15.75" customHeight="1">
      <c r="A9" s="9" t="s">
        <v>5</v>
      </c>
      <c r="B9" s="321">
        <v>245.21186293276821</v>
      </c>
      <c r="C9" s="321">
        <v>300.33937765848054</v>
      </c>
      <c r="D9" s="321">
        <v>334.03087268301653</v>
      </c>
      <c r="E9" s="321">
        <v>364.48259997587985</v>
      </c>
      <c r="F9" s="321">
        <v>458.12</v>
      </c>
      <c r="G9" s="321">
        <v>479.97</v>
      </c>
      <c r="H9" s="321">
        <v>486</v>
      </c>
      <c r="I9" s="321">
        <v>538.14564415511131</v>
      </c>
      <c r="J9" s="64">
        <v>551.39753950687191</v>
      </c>
      <c r="K9" s="64">
        <v>623.97463141784385</v>
      </c>
      <c r="L9" s="64">
        <v>611.88584358765434</v>
      </c>
      <c r="M9" s="64">
        <v>514.95113815904972</v>
      </c>
      <c r="N9" s="252">
        <v>409.17995726265059</v>
      </c>
      <c r="O9" s="252">
        <v>472.85290537180873</v>
      </c>
      <c r="P9" s="252">
        <v>494.44839142091155</v>
      </c>
      <c r="Q9" s="82" t="s">
        <v>149</v>
      </c>
      <c r="R9" s="82" t="s">
        <v>149</v>
      </c>
      <c r="S9" s="82" t="s">
        <v>149</v>
      </c>
      <c r="T9" s="64">
        <v>404.62463541626926</v>
      </c>
      <c r="U9" s="64">
        <v>365.24367777448981</v>
      </c>
      <c r="V9" s="64">
        <v>531.65235713482946</v>
      </c>
      <c r="W9" s="64">
        <v>507.25555932772971</v>
      </c>
      <c r="X9" s="64">
        <v>643.86743116000002</v>
      </c>
    </row>
    <row r="10" spans="1:24" ht="15.75" customHeight="1">
      <c r="A10" s="9" t="s">
        <v>50</v>
      </c>
      <c r="B10" s="321">
        <v>437.74246711188044</v>
      </c>
      <c r="C10" s="321">
        <v>447.5369371592887</v>
      </c>
      <c r="D10" s="321">
        <v>458.76047805186045</v>
      </c>
      <c r="E10" s="321">
        <v>478.6168850478798</v>
      </c>
      <c r="F10" s="321">
        <v>555.67637472133003</v>
      </c>
      <c r="G10" s="321">
        <v>567.3817545764864</v>
      </c>
      <c r="H10" s="429">
        <v>650.89440399194825</v>
      </c>
      <c r="I10" s="429">
        <v>767.26778973837656</v>
      </c>
      <c r="J10" s="64">
        <f>411.332959173501/0.50535</f>
        <v>813.95658290986648</v>
      </c>
      <c r="K10" s="64">
        <f>419273.917061214/502.07</f>
        <v>835.09055920730975</v>
      </c>
      <c r="L10" s="64">
        <f>444976.016769434/495.01</f>
        <v>898.92328795263529</v>
      </c>
      <c r="M10" s="64">
        <f>500054.185269524/533.31</f>
        <v>937.64261924494951</v>
      </c>
      <c r="N10" s="430">
        <v>962.95384306540757</v>
      </c>
      <c r="O10" s="64">
        <f>549306.264298918/548.18</f>
        <v>1002.0545519700062</v>
      </c>
      <c r="P10" s="64">
        <v>1120.6154443699022</v>
      </c>
      <c r="Q10" s="64">
        <f>549033/604.39</f>
        <v>908.40847796952301</v>
      </c>
      <c r="R10" s="64">
        <v>1050.8287885237226</v>
      </c>
      <c r="S10" s="64">
        <v>1180.2</v>
      </c>
      <c r="T10" s="64">
        <v>1063</v>
      </c>
      <c r="U10" s="64">
        <v>1300.1329585808776</v>
      </c>
      <c r="V10" s="64">
        <v>1512.0790485025325</v>
      </c>
      <c r="W10" s="64">
        <v>1589.2346142422925</v>
      </c>
      <c r="X10" s="64">
        <v>1659.9169795614991</v>
      </c>
    </row>
    <row r="11" spans="1:24" ht="15.75" customHeight="1">
      <c r="A11" s="9" t="s">
        <v>6</v>
      </c>
      <c r="B11" s="321">
        <v>313.17545870743345</v>
      </c>
      <c r="C11" s="321">
        <v>298.08797493244742</v>
      </c>
      <c r="D11" s="321">
        <v>452.37791351370862</v>
      </c>
      <c r="E11" s="321">
        <v>458.81791415575333</v>
      </c>
      <c r="F11" s="321">
        <v>474.3185200422397</v>
      </c>
      <c r="G11" s="321">
        <v>517.61812064522621</v>
      </c>
      <c r="H11" s="321">
        <v>522</v>
      </c>
      <c r="I11" s="321">
        <v>559.6219252691244</v>
      </c>
      <c r="J11" s="64">
        <v>567.8534174640472</v>
      </c>
      <c r="K11" s="64">
        <v>588.85216950081406</v>
      </c>
      <c r="L11" s="64">
        <v>582.85481482496994</v>
      </c>
      <c r="M11" s="64">
        <v>601.09162695400983</v>
      </c>
      <c r="N11" s="430">
        <v>616.38</v>
      </c>
      <c r="O11" s="64">
        <v>624.54299255009732</v>
      </c>
      <c r="P11" s="64">
        <v>653.29353342175295</v>
      </c>
      <c r="Q11" s="64">
        <v>665.59892240960403</v>
      </c>
      <c r="R11" s="64">
        <v>684.20878073893027</v>
      </c>
      <c r="S11" s="64">
        <v>696.60167771452961</v>
      </c>
      <c r="T11" s="64">
        <v>741</v>
      </c>
      <c r="U11" s="82" t="s">
        <v>149</v>
      </c>
      <c r="V11" s="82" t="s">
        <v>149</v>
      </c>
      <c r="W11" s="82" t="s">
        <v>149</v>
      </c>
      <c r="X11" s="82" t="s">
        <v>149</v>
      </c>
    </row>
    <row r="12" spans="1:24" ht="15.75" customHeight="1">
      <c r="A12" s="9" t="s">
        <v>7</v>
      </c>
      <c r="B12" s="321">
        <v>451.38539070843711</v>
      </c>
      <c r="C12" s="321">
        <v>483.3138707444823</v>
      </c>
      <c r="D12" s="321">
        <v>544.63668995036915</v>
      </c>
      <c r="E12" s="321">
        <v>542.60215045336952</v>
      </c>
      <c r="F12" s="321">
        <v>577.92243398341486</v>
      </c>
      <c r="G12" s="321">
        <v>491.79451948289915</v>
      </c>
      <c r="H12" s="321">
        <v>548</v>
      </c>
      <c r="I12" s="321">
        <v>606.63636012347934</v>
      </c>
      <c r="J12" s="64">
        <v>528.05772380308201</v>
      </c>
      <c r="K12" s="64">
        <v>598.1849725083058</v>
      </c>
      <c r="L12" s="64">
        <v>612.05807236233261</v>
      </c>
      <c r="M12" s="64">
        <v>568.21250578099341</v>
      </c>
      <c r="N12" s="430">
        <v>495.47379127179511</v>
      </c>
      <c r="O12" s="64">
        <v>531.64497691419763</v>
      </c>
      <c r="P12" s="64">
        <v>683.38598273178718</v>
      </c>
      <c r="Q12" s="64">
        <v>717.99394707549925</v>
      </c>
      <c r="R12" s="64">
        <v>827.71062250739476</v>
      </c>
      <c r="S12" s="64">
        <v>994.88070518465065</v>
      </c>
      <c r="T12" s="64">
        <v>1139.2357345847929</v>
      </c>
      <c r="U12" s="450">
        <v>1506.0646259693317</v>
      </c>
      <c r="V12" s="450">
        <v>2200.0143978730853</v>
      </c>
      <c r="W12" s="450">
        <v>2194.1027356027766</v>
      </c>
      <c r="X12" s="450">
        <v>2912.0264645204447</v>
      </c>
    </row>
    <row r="13" spans="1:24" ht="15.75" customHeight="1">
      <c r="A13" s="9" t="s">
        <v>369</v>
      </c>
      <c r="B13" s="82" t="s">
        <v>149</v>
      </c>
      <c r="C13" s="82" t="s">
        <v>149</v>
      </c>
      <c r="D13" s="82" t="s">
        <v>149</v>
      </c>
      <c r="E13" s="82" t="s">
        <v>149</v>
      </c>
      <c r="F13" s="82" t="s">
        <v>149</v>
      </c>
      <c r="G13" s="82" t="s">
        <v>149</v>
      </c>
      <c r="H13" s="82" t="s">
        <v>149</v>
      </c>
      <c r="I13" s="82" t="s">
        <v>149</v>
      </c>
      <c r="J13" s="82" t="s">
        <v>149</v>
      </c>
      <c r="K13" s="82" t="s">
        <v>149</v>
      </c>
      <c r="L13" s="82" t="s">
        <v>149</v>
      </c>
      <c r="M13" s="64">
        <v>1050</v>
      </c>
      <c r="N13" s="64">
        <v>1054.5</v>
      </c>
      <c r="O13" s="64">
        <v>1135</v>
      </c>
      <c r="P13" s="64">
        <v>1150</v>
      </c>
      <c r="Q13" s="64">
        <v>2076</v>
      </c>
      <c r="R13" s="461">
        <v>2076</v>
      </c>
      <c r="S13" s="420">
        <v>2145</v>
      </c>
      <c r="T13" s="420">
        <v>2138</v>
      </c>
      <c r="U13" s="420">
        <v>2289</v>
      </c>
      <c r="V13" s="420">
        <v>2470</v>
      </c>
      <c r="W13" s="420">
        <v>2498</v>
      </c>
      <c r="X13" s="420">
        <v>2577.5</v>
      </c>
    </row>
    <row r="14" spans="1:24" ht="15.75" customHeight="1">
      <c r="A14" s="9" t="s">
        <v>363</v>
      </c>
      <c r="B14" s="82" t="s">
        <v>149</v>
      </c>
      <c r="C14" s="82" t="s">
        <v>149</v>
      </c>
      <c r="D14" s="82" t="s">
        <v>149</v>
      </c>
      <c r="E14" s="82" t="s">
        <v>149</v>
      </c>
      <c r="F14" s="82" t="s">
        <v>149</v>
      </c>
      <c r="G14" s="82" t="s">
        <v>149</v>
      </c>
      <c r="H14" s="82" t="s">
        <v>149</v>
      </c>
      <c r="I14" s="82" t="s">
        <v>149</v>
      </c>
      <c r="J14" s="82" t="s">
        <v>149</v>
      </c>
      <c r="K14" s="82" t="s">
        <v>149</v>
      </c>
      <c r="L14" s="82" t="s">
        <v>149</v>
      </c>
      <c r="M14" s="82" t="s">
        <v>149</v>
      </c>
      <c r="N14" s="430">
        <v>1133</v>
      </c>
      <c r="O14" s="430">
        <v>1258</v>
      </c>
      <c r="P14" s="64">
        <v>1331</v>
      </c>
      <c r="Q14" s="462">
        <v>1098</v>
      </c>
      <c r="R14" s="462">
        <v>1192</v>
      </c>
      <c r="S14" s="82" t="s">
        <v>149</v>
      </c>
      <c r="T14" s="82" t="s">
        <v>149</v>
      </c>
      <c r="U14" s="82" t="s">
        <v>149</v>
      </c>
      <c r="V14" s="82" t="s">
        <v>149</v>
      </c>
      <c r="W14" s="82" t="s">
        <v>149</v>
      </c>
      <c r="X14" s="82" t="s">
        <v>149</v>
      </c>
    </row>
    <row r="15" spans="1:24" ht="15.75" customHeight="1">
      <c r="A15" s="9" t="s">
        <v>8</v>
      </c>
      <c r="B15" s="321">
        <v>561.30789403698054</v>
      </c>
      <c r="C15" s="321">
        <v>615.26238044933598</v>
      </c>
      <c r="D15" s="321">
        <v>592.8210122132009</v>
      </c>
      <c r="E15" s="321">
        <v>654.83012973752022</v>
      </c>
      <c r="F15" s="321">
        <v>742.29978850172677</v>
      </c>
      <c r="G15" s="321">
        <v>745.59343654567215</v>
      </c>
      <c r="H15" s="321">
        <v>851</v>
      </c>
      <c r="I15" s="431">
        <v>915.82759015566603</v>
      </c>
      <c r="J15" s="64">
        <v>856.61142558898837</v>
      </c>
      <c r="K15" s="64">
        <v>946.75820307712036</v>
      </c>
      <c r="L15" s="64">
        <v>966.99246068578429</v>
      </c>
      <c r="M15" s="64">
        <v>967.48005544804653</v>
      </c>
      <c r="N15" s="430">
        <v>888.30645361136328</v>
      </c>
      <c r="O15" s="430">
        <v>865.76412172669052</v>
      </c>
      <c r="P15" s="430">
        <v>948.05910711332899</v>
      </c>
      <c r="Q15" s="432">
        <v>1147.4122832076412</v>
      </c>
      <c r="R15" s="432">
        <v>917.02855528038936</v>
      </c>
      <c r="S15" s="432">
        <v>1041.1096154240088</v>
      </c>
      <c r="T15" s="432">
        <v>991.30642598430416</v>
      </c>
      <c r="U15" s="432">
        <v>871.97399942201309</v>
      </c>
      <c r="V15" s="432">
        <v>862.15640729984716</v>
      </c>
      <c r="W15" s="432">
        <v>890.84446742665011</v>
      </c>
      <c r="X15" s="432">
        <v>969.76849293248745</v>
      </c>
    </row>
    <row r="16" spans="1:24" ht="15.75" customHeight="1">
      <c r="A16" s="9" t="s">
        <v>82</v>
      </c>
      <c r="B16" s="321">
        <v>195.85034373347438</v>
      </c>
      <c r="C16" s="321">
        <v>299.35867712240031</v>
      </c>
      <c r="D16" s="321">
        <v>321.00098840866207</v>
      </c>
      <c r="E16" s="321">
        <v>343.59436318230468</v>
      </c>
      <c r="F16" s="321">
        <v>363.82802944488009</v>
      </c>
      <c r="G16" s="321">
        <v>379.90996602491504</v>
      </c>
      <c r="H16" s="321">
        <v>375</v>
      </c>
      <c r="I16" s="321">
        <v>442.79633036334843</v>
      </c>
      <c r="J16" s="20">
        <v>452.14986027810272</v>
      </c>
      <c r="K16" s="20">
        <v>444.1352923892141</v>
      </c>
      <c r="L16" s="20">
        <v>449.26652040368583</v>
      </c>
      <c r="M16" s="20">
        <v>449.26354680915455</v>
      </c>
      <c r="N16" s="430">
        <v>469.56181645399272</v>
      </c>
      <c r="O16" s="430">
        <v>453.39322853432714</v>
      </c>
      <c r="P16" s="430">
        <v>452.20028180842132</v>
      </c>
      <c r="Q16" s="430">
        <v>473.76636311319959</v>
      </c>
      <c r="R16" s="430">
        <v>510.44554154651843</v>
      </c>
      <c r="S16" s="125">
        <v>452.99934346378058</v>
      </c>
      <c r="T16" s="125">
        <v>521.60693696248427</v>
      </c>
      <c r="U16" s="125">
        <v>542.03434104772793</v>
      </c>
      <c r="V16" s="125">
        <v>595.2238734990068</v>
      </c>
      <c r="W16" s="125">
        <v>607.4731766736129</v>
      </c>
      <c r="X16" s="125">
        <v>631.63971404097526</v>
      </c>
    </row>
    <row r="17" spans="1:24" ht="15.75" customHeight="1">
      <c r="A17" s="9" t="s">
        <v>9</v>
      </c>
      <c r="B17" s="321">
        <v>347.61187940841864</v>
      </c>
      <c r="C17" s="321">
        <v>379.45481022876737</v>
      </c>
      <c r="D17" s="321">
        <v>471.45769171625534</v>
      </c>
      <c r="E17" s="321">
        <v>511.22950819672133</v>
      </c>
      <c r="F17" s="321">
        <v>633.58899364242529</v>
      </c>
      <c r="G17" s="321">
        <v>631.58494560002589</v>
      </c>
      <c r="H17" s="321">
        <v>912</v>
      </c>
      <c r="I17" s="321">
        <v>987.45285656361705</v>
      </c>
      <c r="J17" s="82" t="s">
        <v>149</v>
      </c>
      <c r="K17" s="64">
        <v>1210.9929652363815</v>
      </c>
      <c r="L17" s="64">
        <v>1365.5409413427869</v>
      </c>
      <c r="M17" s="64">
        <v>1406.0289664816135</v>
      </c>
      <c r="N17" s="430">
        <v>1244.2893229656916</v>
      </c>
      <c r="O17" s="64">
        <v>1319.5797317635875</v>
      </c>
      <c r="P17" s="64">
        <v>1440.9180912992576</v>
      </c>
      <c r="Q17" s="64">
        <v>1292.77</v>
      </c>
      <c r="R17" s="64">
        <v>1313.4977786840038</v>
      </c>
      <c r="S17" s="432">
        <v>1141.990960180171</v>
      </c>
      <c r="T17" s="432">
        <v>1075.8946279832894</v>
      </c>
      <c r="U17" s="432">
        <v>1632.7295147413115</v>
      </c>
      <c r="V17" s="432">
        <v>1921.4022858900107</v>
      </c>
      <c r="W17" s="432">
        <v>1667.1457088467632</v>
      </c>
      <c r="X17" s="432">
        <v>1698.7817766257344</v>
      </c>
    </row>
    <row r="18" spans="1:24" ht="5.0999999999999996" customHeight="1">
      <c r="A18" s="9"/>
      <c r="B18" s="382"/>
      <c r="C18" s="382"/>
      <c r="D18" s="382"/>
      <c r="E18" s="382"/>
      <c r="F18" s="382"/>
      <c r="G18" s="381"/>
      <c r="H18" s="381"/>
      <c r="I18" s="381"/>
      <c r="J18" s="7"/>
      <c r="K18" s="7"/>
      <c r="L18" s="7"/>
      <c r="M18" s="7"/>
      <c r="N18" s="7"/>
      <c r="O18" s="7"/>
      <c r="P18" s="7"/>
      <c r="Q18" s="7"/>
      <c r="R18" s="7"/>
      <c r="S18" s="7"/>
      <c r="T18" s="7"/>
      <c r="U18" s="64"/>
      <c r="V18" s="64"/>
      <c r="W18" s="64"/>
      <c r="X18" s="64"/>
    </row>
    <row r="19" spans="1:24" s="84" customFormat="1" ht="15.75" customHeight="1">
      <c r="A19" s="85" t="s">
        <v>10</v>
      </c>
      <c r="B19" s="463"/>
      <c r="C19" s="463"/>
      <c r="D19" s="463"/>
      <c r="E19" s="463"/>
      <c r="F19" s="463"/>
      <c r="G19" s="463"/>
      <c r="H19" s="464"/>
      <c r="I19" s="464"/>
      <c r="J19" s="464"/>
      <c r="K19" s="464"/>
      <c r="L19" s="464"/>
      <c r="M19" s="464"/>
      <c r="N19" s="464"/>
      <c r="O19" s="464"/>
      <c r="P19" s="464"/>
      <c r="Q19" s="458"/>
      <c r="R19" s="458"/>
      <c r="S19" s="458"/>
      <c r="T19" s="465"/>
      <c r="U19" s="465"/>
      <c r="V19" s="465"/>
      <c r="W19" s="465"/>
      <c r="X19" s="465"/>
    </row>
    <row r="20" spans="1:24" ht="9" customHeight="1">
      <c r="A20" s="9"/>
      <c r="B20" s="323"/>
      <c r="C20" s="323"/>
      <c r="D20" s="323"/>
      <c r="E20" s="323"/>
      <c r="F20" s="323"/>
      <c r="G20" s="323"/>
    </row>
    <row r="21" spans="1:24">
      <c r="A21" s="88" t="s">
        <v>395</v>
      </c>
      <c r="F21" s="323"/>
    </row>
    <row r="22" spans="1:24">
      <c r="A22" s="88" t="s">
        <v>454</v>
      </c>
    </row>
    <row r="29" spans="1:24">
      <c r="L29" s="324"/>
    </row>
  </sheetData>
  <phoneticPr fontId="9" type="noConversion"/>
  <pageMargins left="0.74803149606299213" right="0.74803149606299213" top="0.98425196850393704" bottom="0.98425196850393704" header="0.51181102362204722" footer="0.51181102362204722"/>
  <pageSetup scale="84" orientation="landscape" r:id="rId1"/>
  <headerFooter alignWithMargins="0">
    <oddHeader>&amp;A</oddHeader>
    <oddFooter>&amp;L&amp;F&amp;R&amp;D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M336"/>
  <sheetViews>
    <sheetView showGridLines="0" zoomScale="90" zoomScaleNormal="90" workbookViewId="0"/>
  </sheetViews>
  <sheetFormatPr baseColWidth="10" defaultRowHeight="15"/>
  <cols>
    <col min="1" max="1" width="12.625" style="13" customWidth="1"/>
    <col min="2" max="2" width="1.125" style="13" customWidth="1"/>
    <col min="3" max="4" width="9.625" style="13" customWidth="1"/>
    <col min="5" max="5" width="1.125" style="13" customWidth="1"/>
    <col min="6" max="6" width="11.5" style="13" customWidth="1"/>
    <col min="7" max="7" width="9.625" style="13" customWidth="1"/>
    <col min="8" max="8" width="9.625" style="29" customWidth="1"/>
    <col min="9" max="9" width="2.125" style="29" customWidth="1"/>
    <col min="10" max="16384" width="11" style="13"/>
  </cols>
  <sheetData>
    <row r="1" spans="1:9" ht="15.75" customHeight="1">
      <c r="A1" s="12" t="s">
        <v>304</v>
      </c>
      <c r="B1" s="74"/>
      <c r="E1" s="74"/>
      <c r="H1" s="13"/>
      <c r="I1" s="13"/>
    </row>
    <row r="2" spans="1:9" ht="15.75" customHeight="1">
      <c r="A2" s="12" t="s">
        <v>189</v>
      </c>
      <c r="B2" s="74"/>
      <c r="E2" s="74"/>
      <c r="H2" s="13"/>
      <c r="I2" s="13"/>
    </row>
    <row r="3" spans="1:9" ht="15.75" hidden="1" customHeight="1">
      <c r="A3" s="91"/>
      <c r="B3" s="92"/>
      <c r="C3" s="93"/>
      <c r="D3" s="93"/>
      <c r="E3" s="92" t="s">
        <v>17</v>
      </c>
      <c r="F3" s="93"/>
      <c r="G3" s="93"/>
      <c r="H3" s="93"/>
      <c r="I3" s="13"/>
    </row>
    <row r="4" spans="1:9" s="76" customFormat="1" hidden="1">
      <c r="A4" s="94" t="s">
        <v>0</v>
      </c>
      <c r="B4" s="18"/>
      <c r="C4" s="94" t="s">
        <v>10</v>
      </c>
      <c r="D4" s="94"/>
      <c r="E4" s="18"/>
      <c r="F4" s="17" t="s">
        <v>18</v>
      </c>
      <c r="G4" s="17" t="s">
        <v>19</v>
      </c>
      <c r="H4" s="17" t="s">
        <v>20</v>
      </c>
    </row>
    <row r="5" spans="1:9" ht="5.0999999999999996" hidden="1" customHeight="1">
      <c r="A5" s="18"/>
      <c r="B5" s="18"/>
      <c r="C5" s="18"/>
      <c r="D5" s="18"/>
      <c r="E5" s="18"/>
      <c r="F5" s="18"/>
      <c r="G5" s="18"/>
      <c r="H5" s="13"/>
      <c r="I5" s="13"/>
    </row>
    <row r="6" spans="1:9" ht="15.75" hidden="1" customHeight="1">
      <c r="A6" s="9" t="s">
        <v>2</v>
      </c>
      <c r="B6" s="9"/>
      <c r="C6" s="466">
        <v>0</v>
      </c>
      <c r="D6" s="466"/>
      <c r="E6" s="9"/>
      <c r="F6" s="467">
        <v>0</v>
      </c>
      <c r="G6" s="467">
        <v>0</v>
      </c>
      <c r="H6" s="467">
        <v>0</v>
      </c>
      <c r="I6" s="13"/>
    </row>
    <row r="7" spans="1:9" ht="15.75" hidden="1" customHeight="1">
      <c r="A7" s="9" t="s">
        <v>3</v>
      </c>
      <c r="B7" s="9"/>
      <c r="C7" s="466">
        <v>28839</v>
      </c>
      <c r="D7" s="466"/>
      <c r="E7" s="9"/>
      <c r="F7" s="467">
        <v>2306</v>
      </c>
      <c r="G7" s="467">
        <v>20179</v>
      </c>
      <c r="H7" s="467">
        <v>6354</v>
      </c>
      <c r="I7" s="13"/>
    </row>
    <row r="8" spans="1:9" ht="15.75" hidden="1" customHeight="1">
      <c r="A8" s="9" t="s">
        <v>4</v>
      </c>
      <c r="B8" s="9"/>
      <c r="C8" s="466">
        <v>677821</v>
      </c>
      <c r="D8" s="466"/>
      <c r="E8" s="9"/>
      <c r="F8" s="467">
        <v>53028</v>
      </c>
      <c r="G8" s="467">
        <v>443506</v>
      </c>
      <c r="H8" s="467">
        <v>181287</v>
      </c>
      <c r="I8" s="13"/>
    </row>
    <row r="9" spans="1:9" ht="15.75" hidden="1" customHeight="1">
      <c r="A9" s="9" t="s">
        <v>5</v>
      </c>
      <c r="B9" s="9"/>
      <c r="C9" s="466">
        <v>30500</v>
      </c>
      <c r="D9" s="466"/>
      <c r="E9" s="9"/>
      <c r="F9" s="467">
        <v>7197</v>
      </c>
      <c r="G9" s="467">
        <v>5900</v>
      </c>
      <c r="H9" s="467">
        <v>17403</v>
      </c>
      <c r="I9" s="13"/>
    </row>
    <row r="10" spans="1:9" ht="15.75" hidden="1" customHeight="1">
      <c r="A10" s="9" t="s">
        <v>50</v>
      </c>
      <c r="B10" s="9"/>
      <c r="C10" s="466">
        <v>0</v>
      </c>
      <c r="D10" s="466"/>
      <c r="E10" s="9"/>
      <c r="F10" s="467" t="s">
        <v>182</v>
      </c>
      <c r="G10" s="467" t="s">
        <v>182</v>
      </c>
      <c r="H10" s="467" t="s">
        <v>182</v>
      </c>
      <c r="I10" s="13"/>
    </row>
    <row r="11" spans="1:9" ht="15.75" hidden="1" customHeight="1">
      <c r="A11" s="9" t="s">
        <v>6</v>
      </c>
      <c r="B11" s="9"/>
      <c r="C11" s="466">
        <v>33097</v>
      </c>
      <c r="D11" s="466"/>
      <c r="E11" s="9"/>
      <c r="F11" s="467">
        <v>1568</v>
      </c>
      <c r="G11" s="467">
        <v>13551</v>
      </c>
      <c r="H11" s="467">
        <v>17978</v>
      </c>
      <c r="I11" s="13"/>
    </row>
    <row r="12" spans="1:9" ht="15.75" hidden="1" customHeight="1">
      <c r="A12" s="9" t="s">
        <v>7</v>
      </c>
      <c r="B12" s="9"/>
      <c r="C12" s="466">
        <v>0</v>
      </c>
      <c r="D12" s="466"/>
      <c r="E12" s="9"/>
      <c r="F12" s="467">
        <v>0</v>
      </c>
      <c r="G12" s="467" t="s">
        <v>183</v>
      </c>
      <c r="H12" s="467">
        <v>0</v>
      </c>
      <c r="I12" s="13"/>
    </row>
    <row r="13" spans="1:9" ht="15.75" hidden="1" customHeight="1">
      <c r="A13" s="9" t="s">
        <v>8</v>
      </c>
      <c r="B13" s="9"/>
      <c r="C13" s="466">
        <v>80769</v>
      </c>
      <c r="D13" s="466"/>
      <c r="E13" s="9"/>
      <c r="F13" s="467">
        <v>5191</v>
      </c>
      <c r="G13" s="467">
        <v>39327</v>
      </c>
      <c r="H13" s="467">
        <v>36251</v>
      </c>
      <c r="I13" s="13"/>
    </row>
    <row r="14" spans="1:9" ht="15.75" hidden="1" customHeight="1">
      <c r="A14" s="9" t="s">
        <v>82</v>
      </c>
      <c r="B14" s="9"/>
      <c r="C14" s="466">
        <v>3551</v>
      </c>
      <c r="D14" s="466"/>
      <c r="E14" s="9"/>
      <c r="F14" s="467">
        <v>538</v>
      </c>
      <c r="G14" s="467">
        <v>0</v>
      </c>
      <c r="H14" s="467">
        <v>3013</v>
      </c>
      <c r="I14" s="13"/>
    </row>
    <row r="15" spans="1:9" ht="15.75" hidden="1" customHeight="1">
      <c r="A15" s="9" t="s">
        <v>9</v>
      </c>
      <c r="B15" s="9"/>
      <c r="C15" s="466">
        <v>12108</v>
      </c>
      <c r="D15" s="466"/>
      <c r="E15" s="9"/>
      <c r="F15" s="467">
        <v>2234</v>
      </c>
      <c r="G15" s="467">
        <v>970</v>
      </c>
      <c r="H15" s="467">
        <v>8904</v>
      </c>
      <c r="I15" s="13"/>
    </row>
    <row r="16" spans="1:9" ht="5.0999999999999996" hidden="1" customHeight="1">
      <c r="B16" s="9"/>
      <c r="C16" s="468"/>
      <c r="D16" s="468"/>
      <c r="E16" s="9"/>
      <c r="F16" s="468"/>
      <c r="G16" s="468"/>
      <c r="H16" s="468"/>
      <c r="I16" s="13"/>
    </row>
    <row r="17" spans="1:9" ht="15.75" hidden="1" customHeight="1">
      <c r="A17" s="22" t="s">
        <v>10</v>
      </c>
      <c r="B17" s="23"/>
      <c r="C17" s="469">
        <v>866685</v>
      </c>
      <c r="D17" s="469"/>
      <c r="E17" s="23"/>
      <c r="F17" s="469">
        <v>72062</v>
      </c>
      <c r="G17" s="469">
        <v>523433</v>
      </c>
      <c r="H17" s="469">
        <v>271190</v>
      </c>
      <c r="I17" s="13"/>
    </row>
    <row r="18" spans="1:9" s="76" customFormat="1" ht="8.25" customHeight="1">
      <c r="A18" s="18"/>
      <c r="B18" s="18"/>
      <c r="C18" s="18"/>
      <c r="D18" s="18"/>
      <c r="E18" s="18"/>
      <c r="F18" s="18"/>
      <c r="G18" s="18"/>
    </row>
    <row r="19" spans="1:9" ht="15.75" customHeight="1">
      <c r="A19" s="470"/>
      <c r="B19" s="50"/>
      <c r="C19" s="697" t="s">
        <v>10</v>
      </c>
      <c r="D19" s="697"/>
      <c r="E19" s="50"/>
      <c r="F19" s="697" t="s">
        <v>40</v>
      </c>
      <c r="G19" s="697"/>
      <c r="H19" s="697"/>
      <c r="I19" s="13"/>
    </row>
    <row r="20" spans="1:9" s="76" customFormat="1" ht="25.5" customHeight="1">
      <c r="A20" s="107" t="s">
        <v>0</v>
      </c>
      <c r="B20" s="50"/>
      <c r="C20" s="107" t="s">
        <v>41</v>
      </c>
      <c r="D20" s="107" t="s">
        <v>42</v>
      </c>
      <c r="E20" s="50"/>
      <c r="F20" s="471" t="s">
        <v>18</v>
      </c>
      <c r="G20" s="471" t="s">
        <v>19</v>
      </c>
      <c r="H20" s="471" t="s">
        <v>20</v>
      </c>
    </row>
    <row r="21" spans="1:9" ht="8.1" customHeight="1">
      <c r="A21" s="50"/>
      <c r="B21" s="50"/>
      <c r="C21" s="50"/>
      <c r="D21" s="50"/>
      <c r="E21" s="50"/>
      <c r="F21" s="50"/>
      <c r="G21" s="50"/>
      <c r="H21" s="50"/>
      <c r="I21" s="13"/>
    </row>
    <row r="22" spans="1:9" ht="15.75" hidden="1" customHeight="1">
      <c r="A22" s="30" t="s">
        <v>3</v>
      </c>
      <c r="B22" s="29"/>
      <c r="C22" s="472">
        <v>45805</v>
      </c>
      <c r="D22" s="473">
        <v>1</v>
      </c>
      <c r="E22" s="29"/>
      <c r="F22" s="473">
        <v>5.2999999999999999E-2</v>
      </c>
      <c r="G22" s="473">
        <v>0.56799999999999995</v>
      </c>
      <c r="H22" s="473">
        <v>0.379</v>
      </c>
      <c r="I22" s="13"/>
    </row>
    <row r="23" spans="1:9" ht="15.75" customHeight="1">
      <c r="A23" s="30" t="s">
        <v>4</v>
      </c>
      <c r="B23" s="29"/>
      <c r="C23" s="472">
        <v>830815</v>
      </c>
      <c r="D23" s="473">
        <v>1</v>
      </c>
      <c r="E23" s="29"/>
      <c r="F23" s="474">
        <v>8.7086776237790597E-2</v>
      </c>
      <c r="G23" s="474">
        <v>0.6685471494857459</v>
      </c>
      <c r="H23" s="474">
        <v>0.24436607427646348</v>
      </c>
      <c r="I23" s="13"/>
    </row>
    <row r="24" spans="1:9" ht="15.75" customHeight="1">
      <c r="A24" s="30" t="s">
        <v>5</v>
      </c>
      <c r="B24" s="29"/>
      <c r="C24" s="472">
        <v>42769</v>
      </c>
      <c r="D24" s="473">
        <v>1</v>
      </c>
      <c r="E24" s="29"/>
      <c r="F24" s="474">
        <v>0.24833407374500222</v>
      </c>
      <c r="G24" s="474">
        <v>0.2096378217868082</v>
      </c>
      <c r="H24" s="474">
        <v>0.54202810446818961</v>
      </c>
      <c r="I24" s="13"/>
    </row>
    <row r="25" spans="1:9" ht="15.75" customHeight="1">
      <c r="A25" s="30" t="s">
        <v>50</v>
      </c>
      <c r="B25" s="29"/>
      <c r="C25" s="698" t="s">
        <v>34</v>
      </c>
      <c r="D25" s="698"/>
      <c r="E25" s="698"/>
      <c r="F25" s="698"/>
      <c r="G25" s="698"/>
      <c r="H25" s="698"/>
      <c r="I25" s="13"/>
    </row>
    <row r="26" spans="1:9" ht="15.75" customHeight="1">
      <c r="A26" s="30" t="s">
        <v>6</v>
      </c>
      <c r="B26" s="29"/>
      <c r="C26" s="472">
        <v>39694</v>
      </c>
      <c r="D26" s="473">
        <v>1</v>
      </c>
      <c r="E26" s="29"/>
      <c r="F26" s="474">
        <v>4.5926336474026302E-2</v>
      </c>
      <c r="G26" s="474">
        <v>0.40182395324230363</v>
      </c>
      <c r="H26" s="474">
        <v>0.55224971028367009</v>
      </c>
      <c r="I26" s="13"/>
    </row>
    <row r="27" spans="1:9" ht="15.75" customHeight="1">
      <c r="A27" s="30" t="s">
        <v>7</v>
      </c>
      <c r="B27" s="29"/>
      <c r="C27" s="698" t="s">
        <v>34</v>
      </c>
      <c r="D27" s="698"/>
      <c r="E27" s="698"/>
      <c r="F27" s="698"/>
      <c r="G27" s="698"/>
      <c r="H27" s="698"/>
      <c r="I27" s="13"/>
    </row>
    <row r="28" spans="1:9" ht="15.75" customHeight="1">
      <c r="A28" s="30" t="s">
        <v>184</v>
      </c>
      <c r="B28" s="29"/>
      <c r="C28" s="34"/>
      <c r="D28" s="34"/>
      <c r="E28" s="34"/>
      <c r="F28" s="34"/>
      <c r="G28" s="34"/>
      <c r="H28" s="34"/>
      <c r="I28" s="13"/>
    </row>
    <row r="29" spans="1:9" ht="15.75" customHeight="1">
      <c r="A29" s="30" t="s">
        <v>8</v>
      </c>
      <c r="B29" s="29"/>
      <c r="C29" s="472">
        <v>98717</v>
      </c>
      <c r="D29" s="473">
        <v>1</v>
      </c>
      <c r="E29" s="29"/>
      <c r="F29" s="473">
        <v>6.4598802637843539E-2</v>
      </c>
      <c r="G29" s="473">
        <v>0.50795708945774287</v>
      </c>
      <c r="H29" s="473">
        <v>0.42744410790441362</v>
      </c>
      <c r="I29" s="13"/>
    </row>
    <row r="30" spans="1:9" ht="15.75" customHeight="1">
      <c r="A30" s="696" t="s">
        <v>82</v>
      </c>
      <c r="B30" s="696"/>
      <c r="C30" s="472">
        <v>6075</v>
      </c>
      <c r="D30" s="473">
        <v>1</v>
      </c>
      <c r="E30" s="29"/>
      <c r="F30" s="474">
        <v>0.16197530864197532</v>
      </c>
      <c r="G30" s="474">
        <v>0</v>
      </c>
      <c r="H30" s="474">
        <v>0.83802469135802471</v>
      </c>
      <c r="I30" s="13"/>
    </row>
    <row r="31" spans="1:9" ht="15.75" customHeight="1">
      <c r="A31" s="30" t="s">
        <v>9</v>
      </c>
      <c r="B31" s="29"/>
      <c r="C31" s="472">
        <v>16058</v>
      </c>
      <c r="D31" s="473">
        <v>1</v>
      </c>
      <c r="E31" s="29"/>
      <c r="F31" s="474">
        <v>0.2119815668202765</v>
      </c>
      <c r="G31" s="474">
        <v>0.11034998131772325</v>
      </c>
      <c r="H31" s="474">
        <v>0.6776684518620002</v>
      </c>
      <c r="I31" s="13"/>
    </row>
    <row r="32" spans="1:9" ht="8.1" customHeight="1">
      <c r="A32" s="29"/>
      <c r="B32" s="29"/>
      <c r="C32" s="29"/>
      <c r="D32" s="29"/>
      <c r="E32" s="29"/>
      <c r="F32" s="29"/>
      <c r="G32" s="29"/>
      <c r="I32" s="13"/>
    </row>
    <row r="33" spans="1:9" ht="23.25" customHeight="1">
      <c r="A33" s="37" t="s">
        <v>10</v>
      </c>
      <c r="B33" s="95"/>
      <c r="C33" s="96">
        <v>935008</v>
      </c>
      <c r="D33" s="475">
        <v>1</v>
      </c>
      <c r="E33" s="95"/>
      <c r="F33" s="475">
        <v>0.08</v>
      </c>
      <c r="G33" s="475">
        <v>0.60299999999999998</v>
      </c>
      <c r="H33" s="475">
        <v>0.317</v>
      </c>
      <c r="I33" s="97"/>
    </row>
    <row r="34" spans="1:9" ht="12.95" customHeight="1">
      <c r="A34" s="30"/>
      <c r="B34" s="15"/>
      <c r="C34" s="98"/>
      <c r="D34" s="476"/>
      <c r="E34" s="15"/>
      <c r="F34" s="476"/>
      <c r="G34" s="476"/>
      <c r="H34" s="476"/>
      <c r="I34" s="97"/>
    </row>
    <row r="35" spans="1:9" ht="15.75" customHeight="1">
      <c r="A35" s="12"/>
      <c r="B35" s="99"/>
      <c r="C35" s="477"/>
      <c r="D35" s="478"/>
      <c r="E35" s="99"/>
      <c r="F35" s="478"/>
      <c r="G35" s="478"/>
      <c r="H35" s="478"/>
    </row>
    <row r="36" spans="1:9" ht="15.75" customHeight="1">
      <c r="A36" s="12" t="s">
        <v>203</v>
      </c>
      <c r="B36" s="99"/>
      <c r="C36" s="477"/>
      <c r="D36" s="478"/>
      <c r="E36" s="99"/>
      <c r="F36" s="478"/>
      <c r="G36" s="478"/>
      <c r="H36" s="478"/>
    </row>
    <row r="37" spans="1:9" ht="8.1" customHeight="1">
      <c r="A37" s="9"/>
      <c r="B37" s="9"/>
      <c r="C37" s="87"/>
      <c r="D37" s="9"/>
      <c r="E37" s="87"/>
      <c r="F37" s="9"/>
      <c r="G37" s="87"/>
      <c r="H37" s="13"/>
      <c r="I37" s="13"/>
    </row>
    <row r="38" spans="1:9">
      <c r="A38" s="470"/>
      <c r="B38" s="50"/>
      <c r="C38" s="697" t="s">
        <v>10</v>
      </c>
      <c r="D38" s="697"/>
      <c r="E38" s="50"/>
      <c r="F38" s="697" t="s">
        <v>40</v>
      </c>
      <c r="G38" s="697"/>
      <c r="H38" s="697"/>
    </row>
    <row r="39" spans="1:9">
      <c r="A39" s="107" t="s">
        <v>0</v>
      </c>
      <c r="B39" s="50"/>
      <c r="C39" s="107" t="s">
        <v>41</v>
      </c>
      <c r="D39" s="107" t="s">
        <v>42</v>
      </c>
      <c r="E39" s="50"/>
      <c r="F39" s="471" t="s">
        <v>18</v>
      </c>
      <c r="G39" s="471" t="s">
        <v>19</v>
      </c>
      <c r="H39" s="471" t="s">
        <v>20</v>
      </c>
    </row>
    <row r="40" spans="1:9" ht="8.1" customHeight="1">
      <c r="A40" s="50"/>
      <c r="B40" s="50"/>
      <c r="C40" s="50"/>
      <c r="D40" s="50"/>
      <c r="E40" s="50"/>
      <c r="F40" s="50"/>
      <c r="G40" s="50"/>
      <c r="H40" s="50"/>
    </row>
    <row r="41" spans="1:9" hidden="1">
      <c r="A41" s="30" t="s">
        <v>3</v>
      </c>
      <c r="B41" s="29"/>
      <c r="C41" s="479"/>
      <c r="D41" s="480"/>
      <c r="E41" s="481"/>
      <c r="F41" s="480"/>
      <c r="G41" s="480"/>
      <c r="H41" s="480"/>
    </row>
    <row r="42" spans="1:9">
      <c r="A42" s="30" t="s">
        <v>4</v>
      </c>
      <c r="B42" s="29"/>
      <c r="C42" s="472">
        <v>920902</v>
      </c>
      <c r="D42" s="482">
        <v>1</v>
      </c>
      <c r="E42" s="29"/>
      <c r="F42" s="474">
        <v>9.4100000000000003E-2</v>
      </c>
      <c r="G42" s="474">
        <v>0.67300000000000004</v>
      </c>
      <c r="H42" s="474">
        <v>0.23200000000000001</v>
      </c>
    </row>
    <row r="43" spans="1:9">
      <c r="A43" s="30" t="s">
        <v>5</v>
      </c>
      <c r="B43" s="29"/>
      <c r="C43" s="472">
        <v>51357</v>
      </c>
      <c r="D43" s="482">
        <v>1</v>
      </c>
      <c r="E43" s="29"/>
      <c r="F43" s="474">
        <v>0.27106334092723483</v>
      </c>
      <c r="G43" s="474">
        <v>0.22244289970208539</v>
      </c>
      <c r="H43" s="474">
        <v>0.50649375937067975</v>
      </c>
    </row>
    <row r="44" spans="1:9">
      <c r="A44" s="30" t="s">
        <v>50</v>
      </c>
      <c r="B44" s="29"/>
      <c r="C44" s="698" t="s">
        <v>34</v>
      </c>
      <c r="D44" s="698"/>
      <c r="E44" s="698"/>
      <c r="F44" s="698"/>
      <c r="G44" s="698"/>
      <c r="H44" s="698"/>
    </row>
    <row r="45" spans="1:9">
      <c r="A45" s="30" t="s">
        <v>6</v>
      </c>
      <c r="B45" s="29"/>
      <c r="C45" s="472">
        <v>42988</v>
      </c>
      <c r="D45" s="482">
        <v>1</v>
      </c>
      <c r="E45" s="29"/>
      <c r="F45" s="474">
        <v>4.1151018888992301E-2</v>
      </c>
      <c r="G45" s="474">
        <v>0.40720666232436997</v>
      </c>
      <c r="H45" s="474">
        <v>0.55164231878663772</v>
      </c>
    </row>
    <row r="46" spans="1:9">
      <c r="A46" s="30" t="s">
        <v>7</v>
      </c>
      <c r="B46" s="29"/>
      <c r="C46" s="698" t="s">
        <v>34</v>
      </c>
      <c r="D46" s="698"/>
      <c r="E46" s="698"/>
      <c r="F46" s="698"/>
      <c r="G46" s="698"/>
      <c r="H46" s="698"/>
    </row>
    <row r="47" spans="1:9">
      <c r="A47" s="30" t="s">
        <v>184</v>
      </c>
      <c r="B47" s="29"/>
      <c r="C47" s="34"/>
      <c r="D47" s="34"/>
      <c r="E47" s="34"/>
      <c r="F47" s="34"/>
      <c r="G47" s="34"/>
      <c r="H47" s="34"/>
    </row>
    <row r="48" spans="1:9">
      <c r="A48" s="30" t="s">
        <v>8</v>
      </c>
      <c r="B48" s="29"/>
      <c r="C48" s="472">
        <v>109734</v>
      </c>
      <c r="D48" s="473"/>
      <c r="E48" s="29"/>
      <c r="F48" s="473">
        <v>6.6396923469480743E-2</v>
      </c>
      <c r="G48" s="473">
        <v>0.51739661362932177</v>
      </c>
      <c r="H48" s="473">
        <v>0.41620646290119745</v>
      </c>
    </row>
    <row r="49" spans="1:8">
      <c r="A49" s="696" t="s">
        <v>82</v>
      </c>
      <c r="B49" s="696"/>
      <c r="C49" s="100">
        <v>7488</v>
      </c>
      <c r="D49" s="101">
        <v>1</v>
      </c>
      <c r="E49" s="9"/>
      <c r="F49" s="101">
        <v>0.14890491452991453</v>
      </c>
      <c r="G49" s="101">
        <v>0</v>
      </c>
      <c r="H49" s="101">
        <v>0.8510950854700855</v>
      </c>
    </row>
    <row r="50" spans="1:8">
      <c r="A50" s="30" t="s">
        <v>9</v>
      </c>
      <c r="B50" s="29"/>
      <c r="C50" s="472"/>
      <c r="D50" s="473"/>
      <c r="E50" s="29"/>
      <c r="F50" s="474"/>
      <c r="G50" s="474"/>
      <c r="H50" s="474"/>
    </row>
    <row r="51" spans="1:8" ht="8.1" customHeight="1">
      <c r="A51" s="29"/>
      <c r="B51" s="29"/>
      <c r="C51" s="29"/>
      <c r="D51" s="29"/>
      <c r="E51" s="29"/>
      <c r="F51" s="29"/>
      <c r="G51" s="29"/>
    </row>
    <row r="52" spans="1:8">
      <c r="A52" s="37" t="s">
        <v>10</v>
      </c>
      <c r="B52" s="95"/>
      <c r="C52" s="96"/>
      <c r="D52" s="475"/>
      <c r="E52" s="95"/>
      <c r="F52" s="475"/>
      <c r="G52" s="475"/>
      <c r="H52" s="475"/>
    </row>
    <row r="55" spans="1:8">
      <c r="A55" s="12" t="s">
        <v>204</v>
      </c>
      <c r="B55" s="99"/>
      <c r="C55" s="477"/>
      <c r="D55" s="478"/>
      <c r="E55" s="99"/>
      <c r="F55" s="478"/>
      <c r="G55" s="478"/>
      <c r="H55" s="478"/>
    </row>
    <row r="56" spans="1:8" ht="8.1" customHeight="1">
      <c r="A56" s="9"/>
      <c r="B56" s="9"/>
      <c r="C56" s="87"/>
      <c r="D56" s="9"/>
      <c r="E56" s="87"/>
      <c r="F56" s="9"/>
      <c r="G56" s="87"/>
      <c r="H56" s="13"/>
    </row>
    <row r="57" spans="1:8">
      <c r="A57" s="470"/>
      <c r="B57" s="50"/>
      <c r="C57" s="697" t="s">
        <v>10</v>
      </c>
      <c r="D57" s="697"/>
      <c r="E57" s="50"/>
      <c r="F57" s="697" t="s">
        <v>40</v>
      </c>
      <c r="G57" s="697"/>
      <c r="H57" s="697"/>
    </row>
    <row r="58" spans="1:8">
      <c r="A58" s="107" t="s">
        <v>0</v>
      </c>
      <c r="B58" s="50"/>
      <c r="C58" s="107" t="s">
        <v>41</v>
      </c>
      <c r="D58" s="107" t="s">
        <v>42</v>
      </c>
      <c r="E58" s="50"/>
      <c r="F58" s="471" t="s">
        <v>18</v>
      </c>
      <c r="G58" s="471" t="s">
        <v>19</v>
      </c>
      <c r="H58" s="471" t="s">
        <v>20</v>
      </c>
    </row>
    <row r="59" spans="1:8" ht="8.1" customHeight="1">
      <c r="A59" s="50"/>
      <c r="B59" s="50"/>
      <c r="C59" s="50"/>
      <c r="D59" s="50"/>
      <c r="E59" s="50"/>
      <c r="F59" s="50"/>
      <c r="G59" s="50"/>
      <c r="H59" s="50"/>
    </row>
    <row r="60" spans="1:8" hidden="1">
      <c r="A60" s="30" t="s">
        <v>3</v>
      </c>
      <c r="B60" s="29"/>
      <c r="C60" s="479"/>
      <c r="D60" s="480"/>
      <c r="E60" s="481"/>
      <c r="F60" s="480"/>
      <c r="G60" s="480"/>
      <c r="H60" s="480"/>
    </row>
    <row r="61" spans="1:8">
      <c r="A61" s="30" t="s">
        <v>4</v>
      </c>
      <c r="B61" s="29"/>
      <c r="C61" s="472">
        <v>976619</v>
      </c>
      <c r="D61" s="482">
        <v>1</v>
      </c>
      <c r="E61" s="29"/>
      <c r="F61" s="474">
        <v>0.111123170857827</v>
      </c>
      <c r="G61" s="474">
        <v>0.65920691692461397</v>
      </c>
      <c r="H61" s="474">
        <v>0.229669912217559</v>
      </c>
    </row>
    <row r="62" spans="1:8">
      <c r="A62" s="30" t="s">
        <v>5</v>
      </c>
      <c r="B62" s="29"/>
      <c r="C62" s="472">
        <v>59764</v>
      </c>
      <c r="D62" s="482">
        <v>1</v>
      </c>
      <c r="E62" s="29"/>
      <c r="F62" s="474">
        <v>0.27441268991366041</v>
      </c>
      <c r="G62" s="474">
        <v>0.23152734087410481</v>
      </c>
      <c r="H62" s="474">
        <v>0.49405996921223477</v>
      </c>
    </row>
    <row r="63" spans="1:8">
      <c r="A63" s="30" t="s">
        <v>50</v>
      </c>
      <c r="B63" s="29"/>
      <c r="C63" s="698" t="s">
        <v>34</v>
      </c>
      <c r="D63" s="698"/>
      <c r="E63" s="698"/>
      <c r="F63" s="698"/>
      <c r="G63" s="698"/>
      <c r="H63" s="698"/>
    </row>
    <row r="64" spans="1:8">
      <c r="A64" s="30" t="s">
        <v>6</v>
      </c>
      <c r="B64" s="29"/>
      <c r="C64" s="472">
        <v>46149</v>
      </c>
      <c r="D64" s="482">
        <v>1</v>
      </c>
      <c r="E64" s="29"/>
      <c r="F64" s="474">
        <v>4.1019307027237897E-2</v>
      </c>
      <c r="G64" s="474">
        <v>0.40965134672473902</v>
      </c>
      <c r="H64" s="474">
        <v>0.5493293462480231</v>
      </c>
    </row>
    <row r="65" spans="1:8">
      <c r="A65" s="30" t="s">
        <v>7</v>
      </c>
      <c r="B65" s="29"/>
      <c r="C65" s="698" t="s">
        <v>34</v>
      </c>
      <c r="D65" s="698"/>
      <c r="E65" s="698"/>
      <c r="F65" s="698"/>
      <c r="G65" s="698"/>
      <c r="H65" s="698"/>
    </row>
    <row r="66" spans="1:8">
      <c r="A66" s="30" t="s">
        <v>184</v>
      </c>
      <c r="B66" s="29"/>
      <c r="C66" s="34"/>
      <c r="D66" s="34"/>
      <c r="E66" s="34"/>
      <c r="F66" s="34"/>
      <c r="G66" s="34"/>
      <c r="H66" s="34"/>
    </row>
    <row r="67" spans="1:8">
      <c r="A67" s="30" t="s">
        <v>8</v>
      </c>
      <c r="B67" s="29"/>
      <c r="C67" s="472">
        <v>119798</v>
      </c>
      <c r="D67" s="473"/>
      <c r="E67" s="29"/>
      <c r="F67" s="473">
        <v>6.7046194427285932E-2</v>
      </c>
      <c r="G67" s="473">
        <v>0.52465817459389974</v>
      </c>
      <c r="H67" s="473">
        <v>0.40829563097881433</v>
      </c>
    </row>
    <row r="68" spans="1:8">
      <c r="A68" s="696" t="s">
        <v>82</v>
      </c>
      <c r="B68" s="696"/>
      <c r="C68" s="100">
        <v>9421</v>
      </c>
      <c r="D68" s="101">
        <v>1</v>
      </c>
      <c r="E68" s="29"/>
      <c r="F68" s="101">
        <v>0.16664897569260165</v>
      </c>
      <c r="G68" s="101">
        <v>0</v>
      </c>
      <c r="H68" s="101">
        <v>0.83335102430739838</v>
      </c>
    </row>
    <row r="69" spans="1:8">
      <c r="A69" s="30" t="s">
        <v>9</v>
      </c>
      <c r="B69" s="29"/>
      <c r="C69" s="472"/>
      <c r="D69" s="473"/>
      <c r="E69" s="29"/>
      <c r="F69" s="474"/>
      <c r="G69" s="474"/>
      <c r="H69" s="474"/>
    </row>
    <row r="70" spans="1:8" ht="8.1" customHeight="1">
      <c r="A70" s="29"/>
      <c r="B70" s="29"/>
      <c r="C70" s="29"/>
      <c r="D70" s="29"/>
      <c r="E70" s="29"/>
      <c r="F70" s="29"/>
      <c r="G70" s="29"/>
    </row>
    <row r="71" spans="1:8">
      <c r="A71" s="37" t="s">
        <v>10</v>
      </c>
      <c r="B71" s="95"/>
      <c r="C71" s="96"/>
      <c r="D71" s="475"/>
      <c r="E71" s="95"/>
      <c r="F71" s="475"/>
      <c r="G71" s="475"/>
      <c r="H71" s="475"/>
    </row>
    <row r="74" spans="1:8">
      <c r="A74" s="12" t="s">
        <v>205</v>
      </c>
      <c r="B74" s="99"/>
      <c r="C74" s="477"/>
      <c r="D74" s="478"/>
      <c r="E74" s="99"/>
      <c r="F74" s="478"/>
      <c r="G74" s="478"/>
      <c r="H74" s="478"/>
    </row>
    <row r="75" spans="1:8" ht="8.1" customHeight="1">
      <c r="A75" s="9"/>
      <c r="B75" s="9"/>
      <c r="C75" s="87"/>
      <c r="D75" s="9"/>
      <c r="E75" s="87"/>
      <c r="F75" s="9"/>
      <c r="G75" s="87"/>
      <c r="H75" s="13"/>
    </row>
    <row r="76" spans="1:8">
      <c r="A76" s="470"/>
      <c r="B76" s="50"/>
      <c r="C76" s="697" t="s">
        <v>10</v>
      </c>
      <c r="D76" s="697"/>
      <c r="E76" s="50"/>
      <c r="F76" s="697" t="s">
        <v>40</v>
      </c>
      <c r="G76" s="697"/>
      <c r="H76" s="697"/>
    </row>
    <row r="77" spans="1:8">
      <c r="A77" s="107" t="s">
        <v>0</v>
      </c>
      <c r="B77" s="50"/>
      <c r="C77" s="107" t="s">
        <v>41</v>
      </c>
      <c r="D77" s="107" t="s">
        <v>42</v>
      </c>
      <c r="E77" s="50"/>
      <c r="F77" s="471" t="s">
        <v>18</v>
      </c>
      <c r="G77" s="471" t="s">
        <v>19</v>
      </c>
      <c r="H77" s="471" t="s">
        <v>20</v>
      </c>
    </row>
    <row r="78" spans="1:8" ht="8.1" customHeight="1">
      <c r="A78" s="50"/>
      <c r="B78" s="50"/>
      <c r="C78" s="50"/>
      <c r="D78" s="50"/>
      <c r="E78" s="50"/>
      <c r="F78" s="50"/>
      <c r="G78" s="50"/>
      <c r="H78" s="50"/>
    </row>
    <row r="79" spans="1:8" hidden="1">
      <c r="A79" s="30" t="s">
        <v>3</v>
      </c>
      <c r="B79" s="29"/>
      <c r="C79" s="472"/>
      <c r="D79" s="473"/>
      <c r="E79" s="29"/>
      <c r="F79" s="473"/>
      <c r="G79" s="473"/>
      <c r="H79" s="473"/>
    </row>
    <row r="80" spans="1:8">
      <c r="A80" s="30" t="s">
        <v>4</v>
      </c>
      <c r="B80" s="29"/>
      <c r="C80" s="472">
        <v>1031207</v>
      </c>
      <c r="D80" s="482">
        <v>1</v>
      </c>
      <c r="E80" s="29"/>
      <c r="F80" s="474">
        <v>0.116062051557059</v>
      </c>
      <c r="G80" s="474">
        <v>0.65635318612073001</v>
      </c>
      <c r="H80" s="474">
        <v>0.227584762322211</v>
      </c>
    </row>
    <row r="81" spans="1:8">
      <c r="A81" s="30" t="s">
        <v>5</v>
      </c>
      <c r="B81" s="29"/>
      <c r="C81" s="472">
        <v>68771</v>
      </c>
      <c r="D81" s="482">
        <v>1</v>
      </c>
      <c r="E81" s="29"/>
      <c r="F81" s="474">
        <v>0.27286210757441365</v>
      </c>
      <c r="G81" s="474">
        <v>0.24325660525512208</v>
      </c>
      <c r="H81" s="474">
        <v>0.4838812871704643</v>
      </c>
    </row>
    <row r="82" spans="1:8">
      <c r="A82" s="30" t="s">
        <v>50</v>
      </c>
      <c r="B82" s="29"/>
      <c r="C82" s="698" t="s">
        <v>34</v>
      </c>
      <c r="D82" s="698"/>
      <c r="E82" s="698"/>
      <c r="F82" s="698"/>
      <c r="G82" s="698"/>
      <c r="H82" s="698"/>
    </row>
    <row r="83" spans="1:8">
      <c r="A83" s="30" t="s">
        <v>6</v>
      </c>
      <c r="B83" s="29"/>
      <c r="C83" s="472">
        <v>48170</v>
      </c>
      <c r="D83" s="482">
        <v>1</v>
      </c>
      <c r="E83" s="29"/>
      <c r="F83" s="474">
        <v>4.0336308905958101E-2</v>
      </c>
      <c r="G83" s="474">
        <v>0.41610961179157102</v>
      </c>
      <c r="H83" s="474">
        <v>0.54355407930247046</v>
      </c>
    </row>
    <row r="84" spans="1:8">
      <c r="A84" s="30" t="s">
        <v>7</v>
      </c>
      <c r="B84" s="29"/>
      <c r="C84" s="698" t="s">
        <v>34</v>
      </c>
      <c r="D84" s="698"/>
      <c r="E84" s="698"/>
      <c r="F84" s="698"/>
      <c r="G84" s="698"/>
      <c r="H84" s="698"/>
    </row>
    <row r="85" spans="1:8">
      <c r="A85" s="30" t="s">
        <v>184</v>
      </c>
      <c r="B85" s="29"/>
      <c r="C85" s="34"/>
      <c r="D85" s="34"/>
      <c r="E85" s="34"/>
      <c r="F85" s="34"/>
      <c r="G85" s="34"/>
      <c r="H85" s="34"/>
    </row>
    <row r="86" spans="1:8">
      <c r="A86" s="30" t="s">
        <v>8</v>
      </c>
      <c r="B86" s="29"/>
      <c r="C86" s="472">
        <v>130713</v>
      </c>
      <c r="D86" s="473"/>
      <c r="E86" s="29"/>
      <c r="F86" s="473">
        <v>6.717005959621461E-2</v>
      </c>
      <c r="G86" s="473">
        <v>0.53596046299908962</v>
      </c>
      <c r="H86" s="473">
        <v>0.3968694774046958</v>
      </c>
    </row>
    <row r="87" spans="1:8">
      <c r="A87" s="696" t="s">
        <v>82</v>
      </c>
      <c r="B87" s="696"/>
      <c r="C87" s="100">
        <v>11868</v>
      </c>
      <c r="D87" s="101">
        <v>1</v>
      </c>
      <c r="E87" s="29"/>
      <c r="F87" s="101">
        <v>0.20862824401752611</v>
      </c>
      <c r="G87" s="101">
        <v>0</v>
      </c>
      <c r="H87" s="101">
        <v>0.79137175598247389</v>
      </c>
    </row>
    <row r="88" spans="1:8">
      <c r="A88" s="30" t="s">
        <v>9</v>
      </c>
      <c r="B88" s="29"/>
      <c r="C88" s="472"/>
      <c r="D88" s="473"/>
      <c r="E88" s="29"/>
      <c r="F88" s="474"/>
      <c r="G88" s="474"/>
      <c r="H88" s="474"/>
    </row>
    <row r="89" spans="1:8" ht="8.1" customHeight="1">
      <c r="A89" s="29"/>
      <c r="B89" s="29"/>
      <c r="C89" s="29"/>
      <c r="D89" s="29"/>
      <c r="E89" s="29"/>
      <c r="F89" s="29"/>
      <c r="G89" s="29"/>
    </row>
    <row r="90" spans="1:8">
      <c r="A90" s="37" t="s">
        <v>10</v>
      </c>
      <c r="B90" s="95"/>
      <c r="C90" s="96"/>
      <c r="D90" s="475"/>
      <c r="E90" s="95"/>
      <c r="F90" s="475"/>
      <c r="G90" s="475"/>
      <c r="H90" s="475"/>
    </row>
    <row r="93" spans="1:8">
      <c r="A93" s="12" t="s">
        <v>206</v>
      </c>
      <c r="B93" s="99"/>
      <c r="C93" s="477"/>
      <c r="D93" s="478"/>
      <c r="E93" s="99"/>
      <c r="F93" s="478"/>
      <c r="G93" s="478"/>
      <c r="H93" s="478"/>
    </row>
    <row r="94" spans="1:8" ht="8.1" customHeight="1">
      <c r="A94" s="9"/>
      <c r="B94" s="9"/>
      <c r="C94" s="87"/>
      <c r="D94" s="9"/>
      <c r="E94" s="87"/>
      <c r="F94" s="9"/>
      <c r="G94" s="87"/>
      <c r="H94" s="13"/>
    </row>
    <row r="95" spans="1:8">
      <c r="A95" s="470"/>
      <c r="B95" s="50"/>
      <c r="C95" s="697" t="s">
        <v>10</v>
      </c>
      <c r="D95" s="697"/>
      <c r="E95" s="50"/>
      <c r="F95" s="697" t="s">
        <v>40</v>
      </c>
      <c r="G95" s="697"/>
      <c r="H95" s="697"/>
    </row>
    <row r="96" spans="1:8">
      <c r="A96" s="107" t="s">
        <v>0</v>
      </c>
      <c r="B96" s="50"/>
      <c r="C96" s="107" t="s">
        <v>41</v>
      </c>
      <c r="D96" s="107" t="s">
        <v>42</v>
      </c>
      <c r="E96" s="50"/>
      <c r="F96" s="471" t="s">
        <v>18</v>
      </c>
      <c r="G96" s="471" t="s">
        <v>19</v>
      </c>
      <c r="H96" s="471" t="s">
        <v>20</v>
      </c>
    </row>
    <row r="97" spans="1:8" ht="8.1" customHeight="1">
      <c r="A97" s="50"/>
      <c r="B97" s="50"/>
      <c r="C97" s="50"/>
      <c r="D97" s="50"/>
      <c r="E97" s="50"/>
      <c r="F97" s="50"/>
      <c r="G97" s="50"/>
      <c r="H97" s="50"/>
    </row>
    <row r="98" spans="1:8" hidden="1">
      <c r="A98" s="30" t="s">
        <v>3</v>
      </c>
      <c r="B98" s="29"/>
      <c r="C98" s="472"/>
      <c r="D98" s="473"/>
      <c r="E98" s="29"/>
      <c r="F98" s="473"/>
      <c r="G98" s="473"/>
      <c r="H98" s="473"/>
    </row>
    <row r="99" spans="1:8">
      <c r="A99" s="30" t="s">
        <v>4</v>
      </c>
      <c r="B99" s="29"/>
      <c r="C99" s="483">
        <v>1031791</v>
      </c>
      <c r="D99" s="482">
        <v>1</v>
      </c>
      <c r="E99" s="29"/>
      <c r="F99" s="474">
        <v>0.108556868590635</v>
      </c>
      <c r="G99" s="474">
        <v>0.65301403094231303</v>
      </c>
      <c r="H99" s="474">
        <v>0.23842910046705201</v>
      </c>
    </row>
    <row r="100" spans="1:8">
      <c r="A100" s="30" t="s">
        <v>5</v>
      </c>
      <c r="B100" s="29"/>
      <c r="C100" s="483">
        <v>78498</v>
      </c>
      <c r="D100" s="482">
        <v>1</v>
      </c>
      <c r="E100" s="29"/>
      <c r="F100" s="474">
        <v>0.27551020408163263</v>
      </c>
      <c r="G100" s="474">
        <v>0.25819766108690667</v>
      </c>
      <c r="H100" s="474">
        <v>0.46629213483146065</v>
      </c>
    </row>
    <row r="101" spans="1:8">
      <c r="A101" s="30" t="s">
        <v>50</v>
      </c>
      <c r="B101" s="29"/>
      <c r="C101" s="698" t="s">
        <v>34</v>
      </c>
      <c r="D101" s="698"/>
      <c r="E101" s="698"/>
      <c r="F101" s="698"/>
      <c r="G101" s="698"/>
      <c r="H101" s="698"/>
    </row>
    <row r="102" spans="1:8">
      <c r="A102" s="30" t="s">
        <v>403</v>
      </c>
      <c r="B102" s="29"/>
      <c r="C102" s="483">
        <v>61225</v>
      </c>
      <c r="D102" s="482">
        <v>1</v>
      </c>
      <c r="E102" s="29"/>
      <c r="F102" s="474">
        <v>3.1833401388321761E-2</v>
      </c>
      <c r="G102" s="474">
        <v>0.51748468762760313</v>
      </c>
      <c r="H102" s="474">
        <v>0.45068191098407512</v>
      </c>
    </row>
    <row r="103" spans="1:8">
      <c r="A103" s="30" t="s">
        <v>7</v>
      </c>
      <c r="B103" s="29"/>
      <c r="C103" s="698" t="s">
        <v>34</v>
      </c>
      <c r="D103" s="698"/>
      <c r="E103" s="698"/>
      <c r="F103" s="698"/>
      <c r="G103" s="698"/>
      <c r="H103" s="698"/>
    </row>
    <row r="104" spans="1:8">
      <c r="A104" s="30" t="s">
        <v>184</v>
      </c>
      <c r="B104" s="29"/>
      <c r="C104" s="15">
        <v>2789</v>
      </c>
      <c r="D104" s="482">
        <v>1</v>
      </c>
      <c r="E104" s="34"/>
      <c r="F104" s="474">
        <v>4.2000000000000003E-2</v>
      </c>
      <c r="G104" s="474">
        <v>0.95199999999999996</v>
      </c>
      <c r="H104" s="474">
        <v>6.0000000000000001E-3</v>
      </c>
    </row>
    <row r="105" spans="1:8">
      <c r="A105" s="30" t="s">
        <v>8</v>
      </c>
      <c r="B105" s="29"/>
      <c r="C105" s="472">
        <v>144136</v>
      </c>
      <c r="D105" s="473"/>
      <c r="E105" s="29"/>
      <c r="F105" s="473">
        <v>6.998945440417384E-2</v>
      </c>
      <c r="G105" s="473">
        <v>0.54397929733029915</v>
      </c>
      <c r="H105" s="473">
        <v>0.38603124826552698</v>
      </c>
    </row>
    <row r="106" spans="1:8">
      <c r="A106" s="696" t="s">
        <v>82</v>
      </c>
      <c r="B106" s="696"/>
      <c r="C106" s="100">
        <v>14067</v>
      </c>
      <c r="D106" s="101">
        <v>1</v>
      </c>
      <c r="E106" s="29"/>
      <c r="F106" s="101">
        <v>0.21141679107130162</v>
      </c>
      <c r="G106" s="101">
        <v>1.4928556195350821E-3</v>
      </c>
      <c r="H106" s="101">
        <v>0.78709035330916333</v>
      </c>
    </row>
    <row r="107" spans="1:8">
      <c r="A107" s="30" t="s">
        <v>9</v>
      </c>
      <c r="B107" s="29"/>
      <c r="C107" s="102">
        <v>31687</v>
      </c>
      <c r="D107" s="103">
        <v>1</v>
      </c>
      <c r="E107" s="29"/>
      <c r="F107" s="101">
        <v>0.302426862751286</v>
      </c>
      <c r="G107" s="101">
        <v>0.18783728342853537</v>
      </c>
      <c r="H107" s="101">
        <v>0.50973585382017861</v>
      </c>
    </row>
    <row r="108" spans="1:8" ht="8.1" customHeight="1">
      <c r="A108" s="29"/>
      <c r="B108" s="29"/>
      <c r="C108" s="29"/>
      <c r="D108" s="29"/>
      <c r="E108" s="29"/>
      <c r="F108" s="29"/>
      <c r="G108" s="29"/>
    </row>
    <row r="109" spans="1:8">
      <c r="A109" s="37" t="s">
        <v>10</v>
      </c>
      <c r="B109" s="95"/>
      <c r="C109" s="96"/>
      <c r="D109" s="475"/>
      <c r="E109" s="95"/>
      <c r="F109" s="475"/>
      <c r="G109" s="475"/>
      <c r="H109" s="475"/>
    </row>
    <row r="110" spans="1:8">
      <c r="A110" s="29" t="s">
        <v>338</v>
      </c>
    </row>
    <row r="112" spans="1:8">
      <c r="A112" s="484"/>
    </row>
    <row r="114" spans="1:8">
      <c r="A114" s="12" t="s">
        <v>355</v>
      </c>
      <c r="B114" s="99"/>
      <c r="C114" s="477"/>
      <c r="D114" s="478"/>
      <c r="E114" s="99"/>
      <c r="F114" s="478"/>
      <c r="G114" s="478"/>
      <c r="H114" s="478"/>
    </row>
    <row r="115" spans="1:8">
      <c r="A115" s="9"/>
      <c r="B115" s="9"/>
      <c r="C115" s="87"/>
      <c r="D115" s="9"/>
      <c r="E115" s="87"/>
      <c r="F115" s="9"/>
      <c r="G115" s="87"/>
      <c r="H115" s="13"/>
    </row>
    <row r="116" spans="1:8">
      <c r="A116" s="470"/>
      <c r="B116" s="50"/>
      <c r="C116" s="697" t="s">
        <v>10</v>
      </c>
      <c r="D116" s="697"/>
      <c r="E116" s="50"/>
      <c r="F116" s="697" t="s">
        <v>40</v>
      </c>
      <c r="G116" s="697"/>
      <c r="H116" s="697"/>
    </row>
    <row r="117" spans="1:8">
      <c r="A117" s="107" t="s">
        <v>0</v>
      </c>
      <c r="B117" s="50"/>
      <c r="C117" s="107" t="s">
        <v>41</v>
      </c>
      <c r="D117" s="107" t="s">
        <v>42</v>
      </c>
      <c r="E117" s="50"/>
      <c r="F117" s="471" t="s">
        <v>18</v>
      </c>
      <c r="G117" s="471" t="s">
        <v>19</v>
      </c>
      <c r="H117" s="471" t="s">
        <v>20</v>
      </c>
    </row>
    <row r="118" spans="1:8">
      <c r="A118" s="50"/>
      <c r="B118" s="50"/>
      <c r="C118" s="50"/>
      <c r="D118" s="50"/>
      <c r="E118" s="50"/>
      <c r="F118" s="50"/>
      <c r="G118" s="50"/>
      <c r="H118" s="50"/>
    </row>
    <row r="119" spans="1:8" hidden="1">
      <c r="A119" s="30" t="s">
        <v>3</v>
      </c>
      <c r="B119" s="29"/>
      <c r="C119" s="472"/>
      <c r="D119" s="473"/>
      <c r="E119" s="29"/>
      <c r="F119" s="473"/>
      <c r="G119" s="473"/>
      <c r="H119" s="473"/>
    </row>
    <row r="120" spans="1:8">
      <c r="A120" s="30" t="s">
        <v>4</v>
      </c>
      <c r="B120" s="29"/>
      <c r="C120" s="483">
        <v>1106921</v>
      </c>
      <c r="D120" s="482">
        <v>1</v>
      </c>
      <c r="E120" s="29"/>
      <c r="F120" s="474">
        <v>0.10871146179357</v>
      </c>
      <c r="G120" s="474">
        <v>0.65852124948392898</v>
      </c>
      <c r="H120" s="474">
        <v>0.23276728872250099</v>
      </c>
    </row>
    <row r="121" spans="1:8">
      <c r="A121" s="30" t="s">
        <v>5</v>
      </c>
      <c r="B121" s="29"/>
      <c r="C121" s="483"/>
      <c r="D121" s="482"/>
      <c r="E121" s="29"/>
      <c r="F121" s="474"/>
      <c r="G121" s="474"/>
      <c r="H121" s="474"/>
    </row>
    <row r="122" spans="1:8">
      <c r="A122" s="30" t="s">
        <v>50</v>
      </c>
      <c r="B122" s="29"/>
      <c r="C122" s="698" t="s">
        <v>34</v>
      </c>
      <c r="D122" s="698"/>
      <c r="E122" s="698"/>
      <c r="F122" s="698"/>
      <c r="G122" s="698"/>
      <c r="H122" s="698"/>
    </row>
    <row r="123" spans="1:8">
      <c r="A123" s="30" t="s">
        <v>403</v>
      </c>
      <c r="B123" s="29"/>
      <c r="C123" s="483">
        <v>67463</v>
      </c>
      <c r="D123" s="482">
        <v>1</v>
      </c>
      <c r="E123" s="29"/>
      <c r="F123" s="474">
        <v>3.0831715162385309E-2</v>
      </c>
      <c r="G123" s="474">
        <v>0.53328491172939241</v>
      </c>
      <c r="H123" s="474">
        <v>0.43588337310822228</v>
      </c>
    </row>
    <row r="124" spans="1:8">
      <c r="A124" s="30" t="s">
        <v>7</v>
      </c>
      <c r="B124" s="29"/>
      <c r="C124" s="698" t="s">
        <v>34</v>
      </c>
      <c r="D124" s="698"/>
      <c r="E124" s="698"/>
      <c r="F124" s="698"/>
      <c r="G124" s="698"/>
      <c r="H124" s="698"/>
    </row>
    <row r="125" spans="1:8">
      <c r="A125" s="30" t="s">
        <v>184</v>
      </c>
      <c r="B125" s="29"/>
      <c r="C125" s="485">
        <v>3294</v>
      </c>
      <c r="D125" s="482">
        <v>1</v>
      </c>
      <c r="E125" s="34"/>
      <c r="F125" s="474">
        <v>0.05</v>
      </c>
      <c r="G125" s="474">
        <v>0.94399999999999995</v>
      </c>
      <c r="H125" s="474">
        <v>6.0000000000000001E-3</v>
      </c>
    </row>
    <row r="126" spans="1:8">
      <c r="A126" s="30" t="s">
        <v>8</v>
      </c>
      <c r="B126" s="29"/>
      <c r="C126" s="483">
        <v>162047</v>
      </c>
      <c r="D126" s="473"/>
      <c r="E126" s="29"/>
      <c r="F126" s="473">
        <v>7.0707881046856783E-2</v>
      </c>
      <c r="G126" s="473">
        <v>0.55128450387850436</v>
      </c>
      <c r="H126" s="473">
        <v>0.37800761507463881</v>
      </c>
    </row>
    <row r="127" spans="1:8">
      <c r="A127" s="696" t="s">
        <v>82</v>
      </c>
      <c r="B127" s="696"/>
      <c r="C127" s="100">
        <v>18344</v>
      </c>
      <c r="D127" s="101">
        <v>1</v>
      </c>
      <c r="E127" s="29"/>
      <c r="F127" s="101">
        <v>0.27044265154819014</v>
      </c>
      <c r="G127" s="101">
        <v>1.1447884866986481E-3</v>
      </c>
      <c r="H127" s="101">
        <v>0.72841255996511123</v>
      </c>
    </row>
    <row r="128" spans="1:8">
      <c r="A128" s="30" t="s">
        <v>9</v>
      </c>
      <c r="B128" s="29"/>
      <c r="C128" s="104">
        <v>37512</v>
      </c>
      <c r="D128" s="105">
        <v>1</v>
      </c>
      <c r="E128" s="29"/>
      <c r="F128" s="105">
        <v>0.32219023245894646</v>
      </c>
      <c r="G128" s="105">
        <v>0.20510769886969504</v>
      </c>
      <c r="H128" s="105">
        <v>0.4727020686713585</v>
      </c>
    </row>
    <row r="129" spans="1:8">
      <c r="A129" s="29"/>
      <c r="B129" s="29"/>
      <c r="C129" s="29"/>
      <c r="D129" s="29"/>
      <c r="E129" s="29"/>
      <c r="F129" s="29"/>
      <c r="G129" s="29"/>
    </row>
    <row r="130" spans="1:8">
      <c r="A130" s="37" t="s">
        <v>10</v>
      </c>
      <c r="B130" s="95"/>
      <c r="C130" s="96"/>
      <c r="D130" s="475"/>
      <c r="E130" s="95"/>
      <c r="F130" s="475"/>
      <c r="G130" s="475"/>
      <c r="H130" s="475"/>
    </row>
    <row r="131" spans="1:8">
      <c r="A131" s="29" t="s">
        <v>338</v>
      </c>
    </row>
    <row r="135" spans="1:8">
      <c r="A135" s="12" t="s">
        <v>372</v>
      </c>
      <c r="B135" s="99"/>
      <c r="C135" s="477"/>
      <c r="D135" s="478"/>
      <c r="E135" s="99"/>
      <c r="F135" s="478"/>
      <c r="G135" s="478"/>
      <c r="H135" s="478"/>
    </row>
    <row r="136" spans="1:8">
      <c r="A136" s="9"/>
      <c r="B136" s="9"/>
      <c r="C136" s="87"/>
      <c r="D136" s="9"/>
      <c r="E136" s="87"/>
      <c r="F136" s="9"/>
      <c r="G136" s="87"/>
      <c r="H136" s="13"/>
    </row>
    <row r="137" spans="1:8">
      <c r="A137" s="470"/>
      <c r="B137" s="50"/>
      <c r="C137" s="697" t="s">
        <v>10</v>
      </c>
      <c r="D137" s="697"/>
      <c r="E137" s="50"/>
      <c r="F137" s="697" t="s">
        <v>40</v>
      </c>
      <c r="G137" s="697"/>
      <c r="H137" s="697"/>
    </row>
    <row r="138" spans="1:8">
      <c r="A138" s="107" t="s">
        <v>0</v>
      </c>
      <c r="B138" s="50"/>
      <c r="C138" s="107" t="s">
        <v>41</v>
      </c>
      <c r="D138" s="107" t="s">
        <v>42</v>
      </c>
      <c r="E138" s="50"/>
      <c r="F138" s="471" t="s">
        <v>18</v>
      </c>
      <c r="G138" s="471" t="s">
        <v>19</v>
      </c>
      <c r="H138" s="471" t="s">
        <v>20</v>
      </c>
    </row>
    <row r="139" spans="1:8">
      <c r="A139" s="50"/>
      <c r="B139" s="50"/>
      <c r="C139" s="50"/>
      <c r="D139" s="50"/>
      <c r="E139" s="50"/>
      <c r="F139" s="50"/>
      <c r="G139" s="50"/>
      <c r="H139" s="50"/>
    </row>
    <row r="140" spans="1:8" hidden="1">
      <c r="A140" s="30" t="s">
        <v>3</v>
      </c>
      <c r="B140" s="29"/>
      <c r="C140" s="472"/>
      <c r="D140" s="473"/>
      <c r="E140" s="29"/>
      <c r="F140" s="473"/>
      <c r="G140" s="473"/>
      <c r="H140" s="473"/>
    </row>
    <row r="141" spans="1:8">
      <c r="A141" s="30" t="s">
        <v>4</v>
      </c>
      <c r="B141" s="29"/>
      <c r="C141" s="483">
        <v>1190357</v>
      </c>
      <c r="D141" s="482">
        <v>1</v>
      </c>
      <c r="E141" s="29"/>
      <c r="F141" s="474">
        <v>0.10763073598928725</v>
      </c>
      <c r="G141" s="474">
        <v>0.66600860078111024</v>
      </c>
      <c r="H141" s="474">
        <v>0.22636066322960255</v>
      </c>
    </row>
    <row r="142" spans="1:8">
      <c r="A142" s="30" t="s">
        <v>5</v>
      </c>
      <c r="B142" s="29"/>
      <c r="C142" s="483">
        <v>111080</v>
      </c>
      <c r="D142" s="482">
        <v>1</v>
      </c>
      <c r="E142" s="29"/>
      <c r="F142" s="474">
        <v>0.27908714440043214</v>
      </c>
      <c r="G142" s="474">
        <v>0.28810767014764133</v>
      </c>
      <c r="H142" s="474">
        <v>0.43280518545192653</v>
      </c>
    </row>
    <row r="143" spans="1:8">
      <c r="A143" s="30" t="s">
        <v>50</v>
      </c>
      <c r="B143" s="29"/>
      <c r="C143" s="698" t="s">
        <v>34</v>
      </c>
      <c r="D143" s="698"/>
      <c r="E143" s="698"/>
      <c r="F143" s="698"/>
      <c r="G143" s="698"/>
      <c r="H143" s="698"/>
    </row>
    <row r="144" spans="1:8">
      <c r="A144" s="30" t="s">
        <v>403</v>
      </c>
      <c r="B144" s="29"/>
      <c r="C144" s="483">
        <v>75500</v>
      </c>
      <c r="D144" s="482">
        <v>1</v>
      </c>
      <c r="E144" s="29"/>
      <c r="F144" s="474">
        <v>2.87682119205298E-2</v>
      </c>
      <c r="G144" s="474">
        <v>0.55435761589403976</v>
      </c>
      <c r="H144" s="474">
        <v>0.41687417218543044</v>
      </c>
    </row>
    <row r="145" spans="1:8">
      <c r="A145" s="30" t="s">
        <v>7</v>
      </c>
      <c r="B145" s="29"/>
      <c r="C145" s="698" t="s">
        <v>34</v>
      </c>
      <c r="D145" s="698"/>
      <c r="E145" s="698"/>
      <c r="F145" s="698"/>
      <c r="G145" s="698"/>
      <c r="H145" s="698"/>
    </row>
    <row r="146" spans="1:8">
      <c r="A146" s="30" t="s">
        <v>184</v>
      </c>
      <c r="B146" s="29"/>
      <c r="C146" s="485">
        <v>3334</v>
      </c>
      <c r="D146" s="482">
        <v>1</v>
      </c>
      <c r="E146" s="34"/>
      <c r="F146" s="474">
        <v>4.8000000000000001E-2</v>
      </c>
      <c r="G146" s="474">
        <v>0.95</v>
      </c>
      <c r="H146" s="474">
        <v>2E-3</v>
      </c>
    </row>
    <row r="147" spans="1:8">
      <c r="A147" s="30" t="s">
        <v>8</v>
      </c>
      <c r="B147" s="29"/>
      <c r="C147" s="483">
        <v>166223</v>
      </c>
      <c r="D147" s="473">
        <v>1</v>
      </c>
      <c r="E147" s="486"/>
      <c r="F147" s="473">
        <v>7.6692154515319785E-2</v>
      </c>
      <c r="G147" s="473">
        <v>0.52348351311190389</v>
      </c>
      <c r="H147" s="473">
        <v>0.39982433237277631</v>
      </c>
    </row>
    <row r="148" spans="1:8">
      <c r="A148" s="696" t="s">
        <v>82</v>
      </c>
      <c r="B148" s="696"/>
      <c r="C148" s="100">
        <v>19687</v>
      </c>
      <c r="D148" s="101">
        <f>+C148/C148</f>
        <v>1</v>
      </c>
      <c r="E148" s="29"/>
      <c r="F148" s="101">
        <v>0.2153705490933103</v>
      </c>
      <c r="G148" s="101">
        <v>1.0666937573017728E-3</v>
      </c>
      <c r="H148" s="101">
        <v>0.78356275714938795</v>
      </c>
    </row>
    <row r="149" spans="1:8">
      <c r="A149" s="30" t="s">
        <v>9</v>
      </c>
      <c r="B149" s="29"/>
      <c r="C149" s="102">
        <v>44225</v>
      </c>
      <c r="D149" s="101">
        <v>1</v>
      </c>
      <c r="E149" s="29"/>
      <c r="F149" s="101">
        <v>0.33449406444318824</v>
      </c>
      <c r="G149" s="101">
        <v>0.23242509892594687</v>
      </c>
      <c r="H149" s="101">
        <v>0.43308083663086488</v>
      </c>
    </row>
    <row r="150" spans="1:8">
      <c r="A150" s="29"/>
      <c r="B150" s="29"/>
      <c r="C150" s="29"/>
      <c r="D150" s="29"/>
      <c r="E150" s="29"/>
      <c r="F150" s="29"/>
      <c r="G150" s="29"/>
    </row>
    <row r="151" spans="1:8">
      <c r="A151" s="37" t="s">
        <v>10</v>
      </c>
      <c r="B151" s="95"/>
      <c r="C151" s="96"/>
      <c r="D151" s="475"/>
      <c r="E151" s="95"/>
      <c r="F151" s="475"/>
      <c r="G151" s="475"/>
      <c r="H151" s="475"/>
    </row>
    <row r="152" spans="1:8">
      <c r="A152" s="29" t="s">
        <v>338</v>
      </c>
    </row>
    <row r="156" spans="1:8">
      <c r="A156" s="12" t="s">
        <v>388</v>
      </c>
      <c r="B156" s="99"/>
      <c r="C156" s="477"/>
      <c r="D156" s="478"/>
      <c r="E156" s="99"/>
      <c r="F156" s="478"/>
      <c r="G156" s="478"/>
      <c r="H156" s="478"/>
    </row>
    <row r="157" spans="1:8">
      <c r="A157" s="9"/>
      <c r="B157" s="9"/>
      <c r="C157" s="87"/>
      <c r="D157" s="9"/>
      <c r="E157" s="87"/>
      <c r="F157" s="9"/>
      <c r="G157" s="87"/>
      <c r="H157" s="13"/>
    </row>
    <row r="158" spans="1:8">
      <c r="A158" s="470"/>
      <c r="B158" s="50"/>
      <c r="C158" s="697" t="s">
        <v>10</v>
      </c>
      <c r="D158" s="697"/>
      <c r="E158" s="50"/>
      <c r="F158" s="697" t="s">
        <v>40</v>
      </c>
      <c r="G158" s="697"/>
      <c r="H158" s="697"/>
    </row>
    <row r="159" spans="1:8">
      <c r="A159" s="107" t="s">
        <v>0</v>
      </c>
      <c r="B159" s="50"/>
      <c r="C159" s="107" t="s">
        <v>41</v>
      </c>
      <c r="D159" s="107" t="s">
        <v>42</v>
      </c>
      <c r="E159" s="50"/>
      <c r="F159" s="471" t="s">
        <v>18</v>
      </c>
      <c r="G159" s="471" t="s">
        <v>19</v>
      </c>
      <c r="H159" s="471" t="s">
        <v>20</v>
      </c>
    </row>
    <row r="160" spans="1:8">
      <c r="A160" s="50"/>
      <c r="B160" s="50"/>
      <c r="C160" s="50"/>
      <c r="D160" s="50"/>
      <c r="E160" s="50"/>
      <c r="F160" s="50"/>
      <c r="G160" s="50"/>
      <c r="H160" s="50"/>
    </row>
    <row r="161" spans="1:8">
      <c r="A161" s="30" t="s">
        <v>3</v>
      </c>
      <c r="B161" s="29"/>
      <c r="C161" s="472"/>
      <c r="D161" s="473"/>
      <c r="E161" s="29"/>
      <c r="F161" s="473"/>
      <c r="G161" s="473"/>
      <c r="H161" s="473"/>
    </row>
    <row r="162" spans="1:8">
      <c r="A162" s="30" t="s">
        <v>4</v>
      </c>
      <c r="B162" s="29"/>
      <c r="C162" s="483">
        <v>1261002</v>
      </c>
      <c r="D162" s="482">
        <v>1</v>
      </c>
      <c r="E162" s="71"/>
      <c r="F162" s="474">
        <v>0.105393964482213</v>
      </c>
      <c r="G162" s="474">
        <v>0.67222653096505802</v>
      </c>
      <c r="H162" s="474">
        <v>0.22237950455272901</v>
      </c>
    </row>
    <row r="163" spans="1:8">
      <c r="A163" s="30" t="s">
        <v>5</v>
      </c>
      <c r="B163" s="29"/>
      <c r="C163" s="483">
        <v>130615</v>
      </c>
      <c r="D163" s="482">
        <v>1</v>
      </c>
      <c r="E163" s="71"/>
      <c r="F163" s="474">
        <v>0.26838418252114993</v>
      </c>
      <c r="G163" s="474">
        <v>0.32613405810971174</v>
      </c>
      <c r="H163" s="474">
        <v>0.40548175936913833</v>
      </c>
    </row>
    <row r="164" spans="1:8">
      <c r="A164" s="30" t="s">
        <v>50</v>
      </c>
      <c r="B164" s="29"/>
      <c r="C164" s="698" t="s">
        <v>391</v>
      </c>
      <c r="D164" s="698"/>
      <c r="E164" s="698"/>
      <c r="F164" s="698"/>
      <c r="G164" s="698"/>
      <c r="H164" s="698"/>
    </row>
    <row r="165" spans="1:8">
      <c r="A165" s="30" t="s">
        <v>403</v>
      </c>
      <c r="B165" s="29"/>
      <c r="C165" s="483">
        <v>81722</v>
      </c>
      <c r="D165" s="482">
        <v>1</v>
      </c>
      <c r="E165" s="71"/>
      <c r="F165" s="474">
        <v>2.7250923863831038E-2</v>
      </c>
      <c r="G165" s="474">
        <v>0.5712415261496292</v>
      </c>
      <c r="H165" s="474">
        <v>0.40150754998653976</v>
      </c>
    </row>
    <row r="166" spans="1:8">
      <c r="A166" s="30" t="s">
        <v>7</v>
      </c>
      <c r="B166" s="29"/>
      <c r="C166" s="695" t="s">
        <v>391</v>
      </c>
      <c r="D166" s="695"/>
      <c r="E166" s="695"/>
      <c r="F166" s="695"/>
      <c r="G166" s="695"/>
      <c r="H166" s="695"/>
    </row>
    <row r="167" spans="1:8">
      <c r="A167" s="30" t="s">
        <v>184</v>
      </c>
      <c r="B167" s="29"/>
      <c r="C167" s="485">
        <v>3456</v>
      </c>
      <c r="D167" s="482">
        <v>0.999</v>
      </c>
      <c r="E167" s="34"/>
      <c r="F167" s="474">
        <v>4.9000000000000002E-2</v>
      </c>
      <c r="G167" s="474">
        <v>0.94699999999999995</v>
      </c>
      <c r="H167" s="474">
        <v>3.0000000000000001E-3</v>
      </c>
    </row>
    <row r="168" spans="1:8">
      <c r="A168" s="30" t="s">
        <v>363</v>
      </c>
      <c r="B168" s="29"/>
      <c r="C168" s="485">
        <v>8832</v>
      </c>
      <c r="D168" s="482">
        <v>1</v>
      </c>
      <c r="E168" s="34"/>
      <c r="F168" s="474">
        <v>8.0000000000000002E-3</v>
      </c>
      <c r="G168" s="474">
        <v>0.94299999999999995</v>
      </c>
      <c r="H168" s="474">
        <v>4.9000000000000002E-2</v>
      </c>
    </row>
    <row r="169" spans="1:8">
      <c r="A169" s="30" t="s">
        <v>8</v>
      </c>
      <c r="B169" s="29"/>
      <c r="C169" s="485">
        <v>171799</v>
      </c>
      <c r="D169" s="482">
        <v>1</v>
      </c>
      <c r="E169" s="34"/>
      <c r="F169" s="474">
        <v>7.9476597651907177E-2</v>
      </c>
      <c r="G169" s="474">
        <v>0.50351864679072633</v>
      </c>
      <c r="H169" s="474">
        <v>0.41700475555736644</v>
      </c>
    </row>
    <row r="170" spans="1:8">
      <c r="A170" s="696" t="s">
        <v>82</v>
      </c>
      <c r="B170" s="696"/>
      <c r="C170" s="485">
        <v>21604</v>
      </c>
      <c r="D170" s="482">
        <f>+C170/C170</f>
        <v>1</v>
      </c>
      <c r="E170" s="34"/>
      <c r="F170" s="474">
        <v>0.19084428809479725</v>
      </c>
      <c r="G170" s="474">
        <v>1.3886317348639141E-3</v>
      </c>
      <c r="H170" s="474">
        <v>0.80776708017033882</v>
      </c>
    </row>
    <row r="171" spans="1:8">
      <c r="A171" s="30" t="s">
        <v>9</v>
      </c>
      <c r="B171" s="29"/>
      <c r="C171" s="487">
        <v>50456</v>
      </c>
      <c r="D171" s="103">
        <v>1</v>
      </c>
      <c r="E171" s="71"/>
      <c r="F171" s="101">
        <v>0.31559999999999999</v>
      </c>
      <c r="G171" s="101">
        <v>0.28920000000000001</v>
      </c>
      <c r="H171" s="101">
        <v>0.39510000000000001</v>
      </c>
    </row>
    <row r="172" spans="1:8">
      <c r="A172" s="29"/>
      <c r="B172" s="29"/>
      <c r="C172" s="29"/>
      <c r="D172" s="29"/>
      <c r="E172" s="29"/>
      <c r="F172" s="29"/>
      <c r="G172" s="29"/>
    </row>
    <row r="173" spans="1:8">
      <c r="A173" s="37" t="s">
        <v>10</v>
      </c>
      <c r="B173" s="95"/>
      <c r="C173" s="96"/>
      <c r="D173" s="475"/>
      <c r="E173" s="95"/>
      <c r="F173" s="475"/>
      <c r="G173" s="475"/>
      <c r="H173" s="475"/>
    </row>
    <row r="174" spans="1:8">
      <c r="A174" s="29" t="s">
        <v>338</v>
      </c>
    </row>
    <row r="175" spans="1:8">
      <c r="A175" s="88" t="s">
        <v>395</v>
      </c>
    </row>
    <row r="177" spans="1:8">
      <c r="A177" s="12" t="s">
        <v>402</v>
      </c>
      <c r="B177" s="99"/>
      <c r="C177" s="477"/>
      <c r="D177" s="478"/>
      <c r="E177" s="99"/>
      <c r="F177" s="478"/>
      <c r="G177" s="478"/>
      <c r="H177" s="478"/>
    </row>
    <row r="178" spans="1:8">
      <c r="A178" s="9"/>
      <c r="B178" s="9"/>
      <c r="C178" s="87"/>
      <c r="D178" s="9"/>
      <c r="E178" s="87"/>
      <c r="F178" s="9"/>
      <c r="G178" s="87"/>
      <c r="H178" s="13"/>
    </row>
    <row r="179" spans="1:8">
      <c r="A179" s="470"/>
      <c r="B179" s="50"/>
      <c r="C179" s="697" t="s">
        <v>10</v>
      </c>
      <c r="D179" s="697"/>
      <c r="E179" s="50"/>
      <c r="F179" s="697" t="s">
        <v>40</v>
      </c>
      <c r="G179" s="697"/>
      <c r="H179" s="697"/>
    </row>
    <row r="180" spans="1:8">
      <c r="A180" s="107" t="s">
        <v>0</v>
      </c>
      <c r="B180" s="50"/>
      <c r="C180" s="107" t="s">
        <v>41</v>
      </c>
      <c r="D180" s="107" t="s">
        <v>42</v>
      </c>
      <c r="E180" s="50"/>
      <c r="F180" s="471" t="s">
        <v>18</v>
      </c>
      <c r="G180" s="471" t="s">
        <v>19</v>
      </c>
      <c r="H180" s="471" t="s">
        <v>20</v>
      </c>
    </row>
    <row r="181" spans="1:8">
      <c r="A181" s="50"/>
      <c r="B181" s="50"/>
      <c r="C181" s="50"/>
      <c r="D181" s="50"/>
      <c r="E181" s="50"/>
      <c r="F181" s="50"/>
      <c r="G181" s="50"/>
      <c r="H181" s="50"/>
    </row>
    <row r="182" spans="1:8">
      <c r="A182" s="30" t="s">
        <v>3</v>
      </c>
      <c r="B182" s="29"/>
      <c r="C182" s="472"/>
      <c r="D182" s="473"/>
      <c r="E182" s="29"/>
      <c r="F182" s="473"/>
      <c r="G182" s="473"/>
      <c r="H182" s="473"/>
    </row>
    <row r="183" spans="1:8">
      <c r="A183" s="30" t="s">
        <v>4</v>
      </c>
      <c r="B183" s="29"/>
      <c r="C183" s="488">
        <v>1339543</v>
      </c>
      <c r="D183" s="482">
        <v>1</v>
      </c>
      <c r="E183" s="71"/>
      <c r="F183" s="474">
        <v>0.101138224006247</v>
      </c>
      <c r="G183" s="474">
        <v>0.68232598729566696</v>
      </c>
      <c r="H183" s="474">
        <v>0.21653578869808601</v>
      </c>
    </row>
    <row r="184" spans="1:8">
      <c r="A184" s="30" t="s">
        <v>5</v>
      </c>
      <c r="B184" s="29"/>
      <c r="C184" s="489"/>
      <c r="D184" s="482"/>
      <c r="E184" s="71"/>
      <c r="F184" s="474"/>
      <c r="G184" s="474"/>
      <c r="H184" s="474"/>
    </row>
    <row r="185" spans="1:8">
      <c r="A185" s="30" t="s">
        <v>50</v>
      </c>
      <c r="B185" s="29"/>
      <c r="C185" s="698" t="s">
        <v>391</v>
      </c>
      <c r="D185" s="698"/>
      <c r="E185" s="698"/>
      <c r="F185" s="698"/>
      <c r="G185" s="698"/>
      <c r="H185" s="698"/>
    </row>
    <row r="186" spans="1:8">
      <c r="A186" s="30" t="s">
        <v>403</v>
      </c>
      <c r="B186" s="29"/>
      <c r="C186" s="488">
        <v>89084</v>
      </c>
      <c r="D186" s="482">
        <v>1</v>
      </c>
      <c r="E186" s="71"/>
      <c r="F186" s="473">
        <v>2.7771541466481101E-2</v>
      </c>
      <c r="G186" s="473">
        <v>0.57879080418481399</v>
      </c>
      <c r="H186" s="473">
        <v>0.39343765434870498</v>
      </c>
    </row>
    <row r="187" spans="1:8">
      <c r="A187" s="30" t="s">
        <v>7</v>
      </c>
      <c r="B187" s="29"/>
      <c r="C187" s="695" t="s">
        <v>391</v>
      </c>
      <c r="D187" s="695"/>
      <c r="E187" s="695"/>
      <c r="F187" s="695"/>
      <c r="G187" s="695"/>
      <c r="H187" s="695"/>
    </row>
    <row r="188" spans="1:8">
      <c r="A188" s="30" t="s">
        <v>184</v>
      </c>
      <c r="B188" s="29"/>
      <c r="C188" s="488">
        <f>364+309</f>
        <v>673</v>
      </c>
      <c r="D188" s="482">
        <v>1</v>
      </c>
      <c r="E188" s="490"/>
      <c r="F188" s="491">
        <v>0.1135</v>
      </c>
      <c r="G188" s="491">
        <v>0.86919999999999997</v>
      </c>
      <c r="H188" s="491">
        <v>2.0299999999999999E-2</v>
      </c>
    </row>
    <row r="189" spans="1:8">
      <c r="A189" s="30" t="s">
        <v>363</v>
      </c>
      <c r="B189" s="29"/>
      <c r="C189" s="488">
        <v>11153</v>
      </c>
      <c r="D189" s="482">
        <v>1</v>
      </c>
      <c r="E189" s="34"/>
      <c r="F189" s="491">
        <v>6.0000000000000001E-3</v>
      </c>
      <c r="G189" s="491">
        <v>0.95</v>
      </c>
      <c r="H189" s="491">
        <v>4.3999999999999997E-2</v>
      </c>
    </row>
    <row r="190" spans="1:8">
      <c r="A190" s="30" t="s">
        <v>8</v>
      </c>
      <c r="B190" s="29"/>
      <c r="C190" s="488">
        <v>175915</v>
      </c>
      <c r="D190" s="482">
        <v>1</v>
      </c>
      <c r="E190" s="34"/>
      <c r="F190" s="474">
        <v>8.2278373077907002E-2</v>
      </c>
      <c r="G190" s="474">
        <v>0.484779581047665</v>
      </c>
      <c r="H190" s="474">
        <v>0.43294204587442803</v>
      </c>
    </row>
    <row r="191" spans="1:8">
      <c r="A191" s="696" t="s">
        <v>82</v>
      </c>
      <c r="B191" s="696"/>
      <c r="C191" s="488">
        <v>31625</v>
      </c>
      <c r="D191" s="482">
        <f>+C191/C191</f>
        <v>1</v>
      </c>
      <c r="E191" s="34"/>
      <c r="F191" s="474">
        <v>0.36648221343873516</v>
      </c>
      <c r="G191" s="474">
        <v>1.3913043478260871E-3</v>
      </c>
      <c r="H191" s="474">
        <v>0.6321264822134387</v>
      </c>
    </row>
    <row r="192" spans="1:8">
      <c r="A192" s="30" t="s">
        <v>9</v>
      </c>
      <c r="B192" s="29"/>
      <c r="C192" s="488">
        <v>57658</v>
      </c>
      <c r="D192" s="482">
        <v>1</v>
      </c>
      <c r="F192" s="474">
        <v>0.30199999999999999</v>
      </c>
      <c r="G192" s="474">
        <v>0.32700000000000001</v>
      </c>
      <c r="H192" s="474">
        <v>0.371</v>
      </c>
    </row>
    <row r="193" spans="1:8">
      <c r="A193" s="29"/>
      <c r="B193" s="29"/>
      <c r="C193" s="29"/>
      <c r="D193" s="29"/>
      <c r="E193" s="29"/>
      <c r="F193" s="29"/>
      <c r="G193" s="29"/>
    </row>
    <row r="194" spans="1:8">
      <c r="A194" s="37" t="s">
        <v>10</v>
      </c>
      <c r="B194" s="95"/>
      <c r="C194" s="96"/>
      <c r="D194" s="475"/>
      <c r="E194" s="95"/>
      <c r="F194" s="475"/>
      <c r="G194" s="475"/>
      <c r="H194" s="475"/>
    </row>
    <row r="195" spans="1:8">
      <c r="A195" s="29" t="s">
        <v>338</v>
      </c>
    </row>
    <row r="196" spans="1:8">
      <c r="A196" s="88" t="s">
        <v>395</v>
      </c>
    </row>
    <row r="198" spans="1:8">
      <c r="A198" s="12" t="s">
        <v>449</v>
      </c>
      <c r="B198" s="99"/>
      <c r="C198" s="477"/>
      <c r="D198" s="478"/>
      <c r="E198" s="99"/>
      <c r="F198" s="478"/>
      <c r="G198" s="478"/>
      <c r="H198" s="478"/>
    </row>
    <row r="199" spans="1:8">
      <c r="A199" s="9"/>
      <c r="B199" s="9"/>
      <c r="C199" s="87"/>
      <c r="D199" s="9"/>
      <c r="E199" s="87"/>
      <c r="F199" s="9"/>
      <c r="G199" s="87"/>
      <c r="H199" s="13"/>
    </row>
    <row r="200" spans="1:8">
      <c r="A200" s="470"/>
      <c r="B200" s="50"/>
      <c r="C200" s="697" t="s">
        <v>10</v>
      </c>
      <c r="D200" s="697"/>
      <c r="E200" s="50"/>
      <c r="F200" s="697" t="s">
        <v>40</v>
      </c>
      <c r="G200" s="697"/>
      <c r="H200" s="697"/>
    </row>
    <row r="201" spans="1:8">
      <c r="A201" s="107" t="s">
        <v>0</v>
      </c>
      <c r="B201" s="50"/>
      <c r="C201" s="107" t="s">
        <v>41</v>
      </c>
      <c r="D201" s="107" t="s">
        <v>42</v>
      </c>
      <c r="E201" s="50"/>
      <c r="F201" s="471" t="s">
        <v>18</v>
      </c>
      <c r="G201" s="471" t="s">
        <v>19</v>
      </c>
      <c r="H201" s="471" t="s">
        <v>20</v>
      </c>
    </row>
    <row r="202" spans="1:8">
      <c r="A202" s="50"/>
      <c r="B202" s="50"/>
      <c r="C202" s="50"/>
      <c r="D202" s="50"/>
      <c r="E202" s="50"/>
      <c r="F202" s="50"/>
      <c r="G202" s="50"/>
      <c r="H202" s="50"/>
    </row>
    <row r="203" spans="1:8">
      <c r="A203" s="30" t="s">
        <v>3</v>
      </c>
      <c r="B203" s="29"/>
      <c r="C203" s="472"/>
      <c r="D203" s="473"/>
      <c r="E203" s="29"/>
      <c r="F203" s="473"/>
      <c r="G203" s="473"/>
      <c r="H203" s="473"/>
    </row>
    <row r="204" spans="1:8">
      <c r="A204" s="30" t="s">
        <v>4</v>
      </c>
      <c r="B204" s="29"/>
      <c r="C204" s="177">
        <v>1435659</v>
      </c>
      <c r="D204" s="482">
        <v>1</v>
      </c>
      <c r="E204" s="71"/>
      <c r="F204" s="474">
        <v>0.10167734817251201</v>
      </c>
      <c r="G204" s="474">
        <v>0.68738955420472403</v>
      </c>
      <c r="H204" s="474">
        <v>0.21093309762276399</v>
      </c>
    </row>
    <row r="205" spans="1:8">
      <c r="A205" s="30" t="s">
        <v>5</v>
      </c>
      <c r="B205" s="29"/>
      <c r="C205" s="489"/>
      <c r="D205" s="482"/>
      <c r="E205" s="71"/>
      <c r="F205" s="474"/>
      <c r="G205" s="474"/>
      <c r="H205" s="474"/>
    </row>
    <row r="206" spans="1:8">
      <c r="A206" s="30" t="s">
        <v>50</v>
      </c>
      <c r="B206" s="29"/>
      <c r="C206" s="698" t="s">
        <v>391</v>
      </c>
      <c r="D206" s="698"/>
      <c r="E206" s="698"/>
      <c r="F206" s="698"/>
      <c r="G206" s="698"/>
      <c r="H206" s="698"/>
    </row>
    <row r="207" spans="1:8">
      <c r="A207" s="30" t="s">
        <v>403</v>
      </c>
      <c r="B207" s="29"/>
      <c r="C207" s="483">
        <v>95208</v>
      </c>
      <c r="D207" s="482">
        <v>1</v>
      </c>
      <c r="E207" s="29"/>
      <c r="F207" s="474">
        <v>2.66154104697084E-2</v>
      </c>
      <c r="G207" s="474">
        <v>0.57850180657087602</v>
      </c>
      <c r="H207" s="474">
        <v>0.39488278295941498</v>
      </c>
    </row>
    <row r="208" spans="1:8">
      <c r="A208" s="30" t="s">
        <v>7</v>
      </c>
      <c r="B208" s="29"/>
      <c r="C208" s="695" t="s">
        <v>391</v>
      </c>
      <c r="D208" s="695"/>
      <c r="E208" s="695"/>
      <c r="F208" s="695"/>
      <c r="G208" s="695"/>
      <c r="H208" s="695"/>
    </row>
    <row r="209" spans="1:8">
      <c r="A209" s="30" t="s">
        <v>184</v>
      </c>
      <c r="B209" s="29"/>
      <c r="C209" s="492">
        <v>371</v>
      </c>
      <c r="D209" s="493">
        <f>SUM(F209:H209)</f>
        <v>1</v>
      </c>
      <c r="E209" s="490"/>
      <c r="F209" s="491">
        <f>12/371</f>
        <v>3.2345013477088951E-2</v>
      </c>
      <c r="G209" s="491">
        <f>359/371</f>
        <v>0.96765498652291104</v>
      </c>
      <c r="H209" s="491">
        <v>0</v>
      </c>
    </row>
    <row r="210" spans="1:8">
      <c r="A210" s="30" t="s">
        <v>363</v>
      </c>
      <c r="B210" s="29"/>
      <c r="C210" s="73"/>
      <c r="D210" s="482"/>
      <c r="E210" s="34"/>
      <c r="F210" s="474"/>
      <c r="G210" s="474"/>
      <c r="H210" s="474"/>
    </row>
    <row r="211" spans="1:8">
      <c r="A211" s="30" t="s">
        <v>8</v>
      </c>
      <c r="B211" s="29"/>
      <c r="C211" s="488">
        <v>178602</v>
      </c>
      <c r="D211" s="482">
        <v>1</v>
      </c>
      <c r="E211" s="34"/>
      <c r="F211" s="474">
        <v>8.8726548982799761E-2</v>
      </c>
      <c r="G211" s="474">
        <v>0.45668841669588028</v>
      </c>
      <c r="H211" s="474">
        <v>0.4644460527654955</v>
      </c>
    </row>
    <row r="212" spans="1:8">
      <c r="A212" s="696" t="s">
        <v>82</v>
      </c>
      <c r="B212" s="696"/>
      <c r="C212" s="488">
        <v>33041</v>
      </c>
      <c r="D212" s="482">
        <v>1</v>
      </c>
      <c r="E212" s="34"/>
      <c r="F212" s="474">
        <v>0.35077630822311673</v>
      </c>
      <c r="G212" s="474">
        <v>6.6583941164008356E-4</v>
      </c>
      <c r="H212" s="474">
        <v>0.64855785236524321</v>
      </c>
    </row>
    <row r="213" spans="1:8">
      <c r="A213" s="30" t="s">
        <v>9</v>
      </c>
      <c r="B213" s="29"/>
      <c r="C213" s="488">
        <v>67419</v>
      </c>
      <c r="D213" s="482">
        <v>1</v>
      </c>
      <c r="F213" s="474">
        <v>0.33880656788145802</v>
      </c>
      <c r="G213" s="474">
        <v>0.37102300538423899</v>
      </c>
      <c r="H213" s="474">
        <v>0.29017042673430299</v>
      </c>
    </row>
    <row r="214" spans="1:8">
      <c r="A214" s="29"/>
      <c r="B214" s="29"/>
      <c r="C214" s="29"/>
      <c r="D214" s="29"/>
      <c r="E214" s="29"/>
      <c r="F214" s="29"/>
      <c r="G214" s="29"/>
    </row>
    <row r="215" spans="1:8">
      <c r="A215" s="37" t="s">
        <v>10</v>
      </c>
      <c r="B215" s="95"/>
      <c r="C215" s="96"/>
      <c r="D215" s="475"/>
      <c r="E215" s="95"/>
      <c r="F215" s="475"/>
      <c r="G215" s="475"/>
      <c r="H215" s="475"/>
    </row>
    <row r="216" spans="1:8">
      <c r="A216" s="29" t="s">
        <v>338</v>
      </c>
    </row>
    <row r="217" spans="1:8">
      <c r="A217" s="88" t="s">
        <v>395</v>
      </c>
    </row>
    <row r="219" spans="1:8">
      <c r="A219" s="12" t="s">
        <v>466</v>
      </c>
      <c r="B219" s="99"/>
      <c r="C219" s="477"/>
      <c r="D219" s="478"/>
      <c r="E219" s="99"/>
      <c r="F219" s="478"/>
      <c r="G219" s="478"/>
      <c r="H219" s="478"/>
    </row>
    <row r="220" spans="1:8">
      <c r="A220" s="9"/>
      <c r="B220" s="9"/>
      <c r="C220" s="87"/>
      <c r="D220" s="9"/>
      <c r="E220" s="87"/>
      <c r="F220" s="9"/>
      <c r="G220" s="87"/>
      <c r="H220" s="13"/>
    </row>
    <row r="221" spans="1:8">
      <c r="A221" s="470"/>
      <c r="B221" s="50"/>
      <c r="C221" s="697" t="s">
        <v>10</v>
      </c>
      <c r="D221" s="697"/>
      <c r="E221" s="50"/>
      <c r="F221" s="697" t="s">
        <v>40</v>
      </c>
      <c r="G221" s="697"/>
      <c r="H221" s="697"/>
    </row>
    <row r="222" spans="1:8">
      <c r="A222" s="107" t="s">
        <v>0</v>
      </c>
      <c r="B222" s="50"/>
      <c r="C222" s="107" t="s">
        <v>41</v>
      </c>
      <c r="D222" s="107" t="s">
        <v>42</v>
      </c>
      <c r="E222" s="50"/>
      <c r="F222" s="471" t="s">
        <v>18</v>
      </c>
      <c r="G222" s="471" t="s">
        <v>19</v>
      </c>
      <c r="H222" s="471" t="s">
        <v>20</v>
      </c>
    </row>
    <row r="223" spans="1:8">
      <c r="A223" s="30" t="s">
        <v>4</v>
      </c>
      <c r="B223" s="29"/>
      <c r="C223" s="177">
        <v>1438968</v>
      </c>
      <c r="D223" s="482">
        <v>1</v>
      </c>
      <c r="E223" s="71"/>
      <c r="F223" s="474">
        <v>9.8555353558939504E-2</v>
      </c>
      <c r="G223" s="482">
        <v>0.68462606534683201</v>
      </c>
      <c r="H223" s="474">
        <v>0.216818581094229</v>
      </c>
    </row>
    <row r="224" spans="1:8">
      <c r="A224" s="30" t="s">
        <v>5</v>
      </c>
      <c r="B224" s="29"/>
      <c r="C224" s="489"/>
      <c r="D224" s="482"/>
      <c r="E224" s="71"/>
      <c r="F224" s="474"/>
      <c r="G224" s="474"/>
      <c r="H224" s="474"/>
    </row>
    <row r="225" spans="1:8">
      <c r="A225" s="30" t="s">
        <v>50</v>
      </c>
      <c r="B225" s="29"/>
      <c r="C225" s="698" t="s">
        <v>391</v>
      </c>
      <c r="D225" s="698"/>
      <c r="E225" s="698"/>
      <c r="F225" s="698"/>
      <c r="G225" s="698"/>
      <c r="H225" s="698"/>
    </row>
    <row r="226" spans="1:8">
      <c r="A226" s="30" t="s">
        <v>403</v>
      </c>
      <c r="B226" s="29"/>
      <c r="C226" s="483">
        <v>94131</v>
      </c>
      <c r="D226" s="482">
        <v>1</v>
      </c>
      <c r="E226" s="29"/>
      <c r="F226" s="474">
        <v>2.5230795380905301E-2</v>
      </c>
      <c r="G226" s="474">
        <v>0.58807406699174603</v>
      </c>
      <c r="H226" s="474">
        <v>0.38669513762734897</v>
      </c>
    </row>
    <row r="227" spans="1:8">
      <c r="A227" s="30" t="s">
        <v>7</v>
      </c>
      <c r="B227" s="29"/>
      <c r="C227" s="695" t="s">
        <v>391</v>
      </c>
      <c r="D227" s="695"/>
      <c r="E227" s="695"/>
      <c r="F227" s="695"/>
      <c r="G227" s="695"/>
      <c r="H227" s="695"/>
    </row>
    <row r="228" spans="1:8">
      <c r="A228" s="30" t="s">
        <v>184</v>
      </c>
      <c r="B228" s="29"/>
      <c r="C228" s="492">
        <f>949+308</f>
        <v>1257</v>
      </c>
      <c r="D228" s="493">
        <f>SUM(F228:H228)</f>
        <v>1</v>
      </c>
      <c r="E228" s="490"/>
      <c r="F228" s="491">
        <v>5.1999999999999998E-2</v>
      </c>
      <c r="G228" s="491">
        <v>0.93799999999999994</v>
      </c>
      <c r="H228" s="491">
        <v>0.01</v>
      </c>
    </row>
    <row r="229" spans="1:8">
      <c r="A229" s="30" t="s">
        <v>363</v>
      </c>
      <c r="B229" s="29"/>
      <c r="C229" s="73"/>
      <c r="D229" s="482"/>
      <c r="E229" s="34"/>
      <c r="F229" s="474"/>
      <c r="G229" s="474"/>
      <c r="H229" s="474"/>
    </row>
    <row r="230" spans="1:8">
      <c r="A230" s="30" t="s">
        <v>8</v>
      </c>
      <c r="B230" s="29"/>
      <c r="C230" s="488">
        <v>181995</v>
      </c>
      <c r="D230" s="385">
        <v>1</v>
      </c>
      <c r="E230" s="71"/>
      <c r="F230" s="386">
        <v>8.5332014615786142E-2</v>
      </c>
      <c r="G230" s="386">
        <v>0.44297370806890302</v>
      </c>
      <c r="H230" s="386">
        <v>0.47169427731531088</v>
      </c>
    </row>
    <row r="231" spans="1:8">
      <c r="A231" s="696" t="s">
        <v>82</v>
      </c>
      <c r="B231" s="696"/>
      <c r="C231" s="488">
        <v>33712</v>
      </c>
      <c r="D231" s="385">
        <v>1</v>
      </c>
      <c r="E231" s="34"/>
      <c r="F231" s="474">
        <v>0.29882534409112482</v>
      </c>
      <c r="G231" s="474">
        <v>8.8989084005695299E-4</v>
      </c>
      <c r="H231" s="474">
        <v>0.7002847650688182</v>
      </c>
    </row>
    <row r="232" spans="1:8">
      <c r="A232" s="30" t="s">
        <v>9</v>
      </c>
      <c r="B232" s="29"/>
      <c r="C232" s="488">
        <v>76525</v>
      </c>
      <c r="D232" s="482">
        <v>1</v>
      </c>
      <c r="F232" s="442">
        <v>0.26933681803332199</v>
      </c>
      <c r="G232" s="474">
        <v>0.42001960143743899</v>
      </c>
      <c r="H232" s="474">
        <v>0.31064358052923902</v>
      </c>
    </row>
    <row r="233" spans="1:8">
      <c r="A233" s="29"/>
      <c r="B233" s="29"/>
      <c r="C233" s="29"/>
      <c r="D233" s="29"/>
      <c r="E233" s="29"/>
      <c r="F233" s="29"/>
      <c r="G233" s="29"/>
    </row>
    <row r="234" spans="1:8">
      <c r="A234" s="37" t="s">
        <v>10</v>
      </c>
      <c r="B234" s="95"/>
      <c r="C234" s="96"/>
      <c r="D234" s="475"/>
      <c r="E234" s="95"/>
      <c r="F234" s="475"/>
      <c r="G234" s="475"/>
      <c r="H234" s="475"/>
    </row>
    <row r="235" spans="1:8">
      <c r="A235" s="29" t="s">
        <v>338</v>
      </c>
    </row>
    <row r="236" spans="1:8">
      <c r="A236" s="88" t="s">
        <v>395</v>
      </c>
    </row>
    <row r="239" spans="1:8">
      <c r="A239" s="12" t="s">
        <v>486</v>
      </c>
      <c r="B239" s="99"/>
      <c r="C239" s="477"/>
      <c r="D239" s="478"/>
      <c r="E239" s="99"/>
      <c r="F239" s="478"/>
      <c r="G239" s="478"/>
      <c r="H239" s="478"/>
    </row>
    <row r="240" spans="1:8">
      <c r="A240" s="9"/>
      <c r="B240" s="9"/>
      <c r="C240" s="87"/>
      <c r="D240" s="9"/>
      <c r="E240" s="87"/>
      <c r="F240" s="9"/>
      <c r="G240" s="87"/>
      <c r="H240" s="13"/>
    </row>
    <row r="241" spans="1:8">
      <c r="A241" s="470"/>
      <c r="B241" s="50"/>
      <c r="C241" s="697" t="s">
        <v>10</v>
      </c>
      <c r="D241" s="697"/>
      <c r="E241" s="50"/>
      <c r="F241" s="697" t="s">
        <v>40</v>
      </c>
      <c r="G241" s="697"/>
      <c r="H241" s="697"/>
    </row>
    <row r="242" spans="1:8">
      <c r="A242" s="107" t="s">
        <v>0</v>
      </c>
      <c r="B242" s="50"/>
      <c r="C242" s="107" t="s">
        <v>41</v>
      </c>
      <c r="D242" s="107" t="s">
        <v>42</v>
      </c>
      <c r="E242" s="50"/>
      <c r="F242" s="471" t="s">
        <v>18</v>
      </c>
      <c r="G242" s="471" t="s">
        <v>19</v>
      </c>
      <c r="H242" s="471" t="s">
        <v>20</v>
      </c>
    </row>
    <row r="243" spans="1:8">
      <c r="A243" s="30" t="s">
        <v>4</v>
      </c>
      <c r="B243" s="29"/>
      <c r="C243" s="488">
        <v>1394463</v>
      </c>
      <c r="D243" s="482">
        <v>1</v>
      </c>
      <c r="E243" s="71"/>
      <c r="F243" s="474">
        <v>9.4663680570943806E-2</v>
      </c>
      <c r="G243" s="482">
        <v>0.67805814854893998</v>
      </c>
      <c r="H243" s="474">
        <v>0.22727817088011701</v>
      </c>
    </row>
    <row r="244" spans="1:8">
      <c r="A244" s="30" t="s">
        <v>5</v>
      </c>
      <c r="B244" s="29"/>
      <c r="C244" s="483">
        <v>247235</v>
      </c>
      <c r="D244" s="482">
        <v>1</v>
      </c>
      <c r="E244" s="71"/>
      <c r="F244" s="474">
        <v>0.19604424939834569</v>
      </c>
      <c r="G244" s="474">
        <v>0.51521831455902278</v>
      </c>
      <c r="H244" s="474">
        <v>0.28873743604263152</v>
      </c>
    </row>
    <row r="245" spans="1:8">
      <c r="A245" s="30" t="s">
        <v>50</v>
      </c>
      <c r="B245" s="29"/>
      <c r="C245" s="698" t="s">
        <v>391</v>
      </c>
      <c r="D245" s="698"/>
      <c r="E245" s="698"/>
      <c r="F245" s="698"/>
      <c r="G245" s="698"/>
      <c r="H245" s="698"/>
    </row>
    <row r="246" spans="1:8">
      <c r="A246" s="30" t="s">
        <v>403</v>
      </c>
      <c r="B246" s="29"/>
      <c r="C246" s="483">
        <v>103401</v>
      </c>
      <c r="D246" s="482"/>
      <c r="E246" s="71"/>
      <c r="F246" s="474">
        <v>2.7E-2</v>
      </c>
      <c r="G246" s="473">
        <v>5.7400000000000003E-3</v>
      </c>
      <c r="H246" s="474">
        <v>0.39900000000000002</v>
      </c>
    </row>
    <row r="247" spans="1:8">
      <c r="A247" s="30" t="s">
        <v>7</v>
      </c>
      <c r="B247" s="29"/>
      <c r="C247" s="695" t="s">
        <v>391</v>
      </c>
      <c r="D247" s="695"/>
      <c r="E247" s="695"/>
      <c r="F247" s="695"/>
      <c r="G247" s="695"/>
      <c r="H247" s="695"/>
    </row>
    <row r="248" spans="1:8">
      <c r="A248" s="30" t="s">
        <v>184</v>
      </c>
      <c r="B248" s="29"/>
      <c r="C248" s="695" t="s">
        <v>391</v>
      </c>
      <c r="D248" s="695"/>
      <c r="E248" s="695"/>
      <c r="F248" s="695"/>
      <c r="G248" s="695"/>
      <c r="H248" s="695"/>
    </row>
    <row r="249" spans="1:8">
      <c r="A249" s="30" t="s">
        <v>363</v>
      </c>
      <c r="B249" s="29"/>
      <c r="C249" s="695" t="s">
        <v>391</v>
      </c>
      <c r="D249" s="695"/>
      <c r="E249" s="695"/>
      <c r="F249" s="695"/>
      <c r="G249" s="695"/>
      <c r="H249" s="695"/>
    </row>
    <row r="250" spans="1:8">
      <c r="A250" s="30" t="s">
        <v>8</v>
      </c>
      <c r="B250" s="29"/>
      <c r="C250" s="488">
        <v>192558</v>
      </c>
      <c r="D250" s="385">
        <v>1</v>
      </c>
      <c r="E250" s="71"/>
      <c r="F250" s="386">
        <v>7.8417931220723103E-2</v>
      </c>
      <c r="G250" s="386">
        <v>39.839944328462103</v>
      </c>
      <c r="H250" s="386">
        <v>0.523182625494656</v>
      </c>
    </row>
    <row r="251" spans="1:8">
      <c r="A251" s="696" t="s">
        <v>82</v>
      </c>
      <c r="B251" s="696"/>
      <c r="C251" s="488"/>
      <c r="D251" s="385">
        <v>1</v>
      </c>
      <c r="E251" s="34"/>
      <c r="F251" s="474">
        <v>0.29272741905196231</v>
      </c>
      <c r="G251" s="474">
        <v>9.6574295141776435E-4</v>
      </c>
      <c r="H251" s="474">
        <v>0.70630683799661986</v>
      </c>
    </row>
    <row r="252" spans="1:8">
      <c r="A252" s="30" t="s">
        <v>9</v>
      </c>
      <c r="B252" s="29"/>
      <c r="C252" s="488">
        <v>85905</v>
      </c>
      <c r="D252" s="482">
        <v>1</v>
      </c>
      <c r="E252" s="71"/>
      <c r="F252" s="442">
        <v>0.24352482393341501</v>
      </c>
      <c r="G252" s="474">
        <v>0.45963564402537699</v>
      </c>
      <c r="H252" s="474">
        <v>0.296839532041208</v>
      </c>
    </row>
    <row r="253" spans="1:8">
      <c r="A253" s="29"/>
      <c r="B253" s="29"/>
      <c r="C253" s="29"/>
      <c r="D253" s="29"/>
      <c r="E253" s="29"/>
      <c r="F253" s="29"/>
      <c r="G253" s="29"/>
    </row>
    <row r="254" spans="1:8">
      <c r="A254" s="37" t="s">
        <v>10</v>
      </c>
      <c r="B254" s="95"/>
      <c r="C254" s="96"/>
      <c r="D254" s="475"/>
      <c r="E254" s="95"/>
      <c r="F254" s="475"/>
      <c r="G254" s="475"/>
      <c r="H254" s="475"/>
    </row>
    <row r="255" spans="1:8">
      <c r="A255" s="29" t="s">
        <v>338</v>
      </c>
    </row>
    <row r="256" spans="1:8">
      <c r="A256" s="88" t="s">
        <v>395</v>
      </c>
    </row>
    <row r="259" spans="1:13">
      <c r="A259" s="12" t="s">
        <v>489</v>
      </c>
      <c r="B259" s="99"/>
      <c r="C259" s="477"/>
      <c r="D259" s="478"/>
      <c r="E259" s="99"/>
      <c r="F259" s="478"/>
      <c r="G259" s="478"/>
      <c r="H259" s="478"/>
    </row>
    <row r="260" spans="1:13">
      <c r="A260" s="9"/>
      <c r="B260" s="9"/>
      <c r="C260" s="87"/>
      <c r="D260" s="9"/>
      <c r="E260" s="87"/>
      <c r="F260" s="9"/>
      <c r="G260" s="87"/>
      <c r="H260" s="13"/>
    </row>
    <row r="261" spans="1:13">
      <c r="A261" s="470"/>
      <c r="B261" s="50"/>
      <c r="C261" s="697" t="s">
        <v>10</v>
      </c>
      <c r="D261" s="697"/>
      <c r="E261" s="50"/>
      <c r="F261" s="697" t="s">
        <v>40</v>
      </c>
      <c r="G261" s="697"/>
      <c r="H261" s="697"/>
    </row>
    <row r="262" spans="1:13">
      <c r="A262" s="107" t="s">
        <v>0</v>
      </c>
      <c r="B262" s="50"/>
      <c r="C262" s="107" t="s">
        <v>41</v>
      </c>
      <c r="D262" s="107" t="s">
        <v>42</v>
      </c>
      <c r="E262" s="50"/>
      <c r="F262" s="471" t="s">
        <v>18</v>
      </c>
      <c r="G262" s="471" t="s">
        <v>19</v>
      </c>
      <c r="H262" s="471" t="s">
        <v>20</v>
      </c>
    </row>
    <row r="263" spans="1:13">
      <c r="A263" s="30" t="s">
        <v>4</v>
      </c>
      <c r="B263" s="29"/>
      <c r="C263" s="450">
        <v>1519013</v>
      </c>
      <c r="D263" s="482">
        <v>1</v>
      </c>
      <c r="E263" s="71"/>
      <c r="F263" s="454">
        <v>8.8745784269127395E-2</v>
      </c>
      <c r="G263" s="454">
        <v>0.69900060104818063</v>
      </c>
      <c r="H263" s="454">
        <v>0.21225361468269199</v>
      </c>
    </row>
    <row r="264" spans="1:13">
      <c r="A264" s="30" t="s">
        <v>5</v>
      </c>
      <c r="B264" s="29"/>
      <c r="C264" s="452">
        <v>174715</v>
      </c>
      <c r="D264" s="482">
        <v>1</v>
      </c>
      <c r="E264" s="71"/>
      <c r="F264" s="454">
        <v>0.52514666742981431</v>
      </c>
      <c r="G264" s="454">
        <v>0.41023953295366739</v>
      </c>
      <c r="H264" s="454">
        <v>6.4613799616518336E-2</v>
      </c>
    </row>
    <row r="265" spans="1:13">
      <c r="A265" s="30" t="s">
        <v>50</v>
      </c>
      <c r="B265" s="29"/>
      <c r="C265" s="698" t="s">
        <v>391</v>
      </c>
      <c r="D265" s="698"/>
      <c r="E265" s="698"/>
      <c r="F265" s="698"/>
      <c r="G265" s="698"/>
      <c r="H265" s="698"/>
    </row>
    <row r="266" spans="1:13">
      <c r="A266" s="30" t="s">
        <v>403</v>
      </c>
      <c r="B266" s="29"/>
      <c r="C266" s="489"/>
      <c r="D266" s="482"/>
      <c r="E266" s="29"/>
      <c r="F266" s="474"/>
      <c r="G266" s="474"/>
      <c r="H266" s="474"/>
    </row>
    <row r="267" spans="1:13">
      <c r="A267" s="30" t="s">
        <v>7</v>
      </c>
      <c r="B267" s="29"/>
      <c r="C267" s="695" t="s">
        <v>391</v>
      </c>
      <c r="D267" s="695"/>
      <c r="E267" s="695"/>
      <c r="F267" s="695"/>
      <c r="G267" s="695"/>
      <c r="H267" s="695"/>
    </row>
    <row r="268" spans="1:13">
      <c r="A268" s="30" t="s">
        <v>184</v>
      </c>
      <c r="B268" s="29"/>
      <c r="C268" s="695" t="s">
        <v>391</v>
      </c>
      <c r="D268" s="695"/>
      <c r="E268" s="695"/>
      <c r="F268" s="695"/>
      <c r="G268" s="695"/>
      <c r="H268" s="695"/>
    </row>
    <row r="269" spans="1:13">
      <c r="A269" s="30" t="s">
        <v>363</v>
      </c>
      <c r="B269" s="29"/>
      <c r="C269" s="695" t="s">
        <v>391</v>
      </c>
      <c r="D269" s="695"/>
      <c r="E269" s="695"/>
      <c r="F269" s="695"/>
      <c r="G269" s="695"/>
      <c r="H269" s="695"/>
    </row>
    <row r="270" spans="1:13">
      <c r="A270" s="30" t="s">
        <v>8</v>
      </c>
      <c r="B270" s="29"/>
      <c r="C270" s="450">
        <v>200543</v>
      </c>
      <c r="D270" s="482">
        <v>1</v>
      </c>
      <c r="E270" s="456"/>
      <c r="F270" s="454">
        <v>7.5111073435622289E-2</v>
      </c>
      <c r="G270" s="454">
        <v>0.37298235291184434</v>
      </c>
      <c r="H270" s="454">
        <v>0.55190657365253337</v>
      </c>
    </row>
    <row r="271" spans="1:13">
      <c r="A271" s="696" t="s">
        <v>82</v>
      </c>
      <c r="B271" s="696"/>
      <c r="C271" s="73"/>
      <c r="D271" s="385"/>
      <c r="E271" s="34"/>
      <c r="F271" s="454">
        <v>0.19039886039886039</v>
      </c>
      <c r="G271" s="454">
        <v>1.3390313390313391E-3</v>
      </c>
      <c r="H271" s="454">
        <v>0.80826210826210831</v>
      </c>
      <c r="K271" s="454"/>
      <c r="L271" s="454"/>
      <c r="M271" s="454"/>
    </row>
    <row r="272" spans="1:13">
      <c r="A272" s="30" t="s">
        <v>9</v>
      </c>
      <c r="B272" s="29"/>
      <c r="C272" s="452">
        <v>96687</v>
      </c>
      <c r="D272" s="482">
        <v>1</v>
      </c>
      <c r="E272" s="71"/>
      <c r="F272" s="591">
        <v>0.23242007715618443</v>
      </c>
      <c r="G272" s="591">
        <v>0.56395378903058324</v>
      </c>
      <c r="H272" s="591">
        <v>0.20362613381323244</v>
      </c>
    </row>
    <row r="273" spans="1:8">
      <c r="A273" s="29"/>
      <c r="B273" s="29"/>
      <c r="C273" s="29"/>
      <c r="D273" s="29"/>
      <c r="E273" s="29"/>
      <c r="F273" s="29"/>
      <c r="G273" s="29"/>
    </row>
    <row r="274" spans="1:8">
      <c r="A274" s="37" t="s">
        <v>10</v>
      </c>
      <c r="B274" s="95"/>
      <c r="C274" s="96"/>
      <c r="D274" s="475"/>
      <c r="E274" s="95"/>
      <c r="F274" s="475"/>
      <c r="G274" s="475"/>
      <c r="H274" s="475"/>
    </row>
    <row r="275" spans="1:8">
      <c r="A275" s="29" t="s">
        <v>338</v>
      </c>
    </row>
    <row r="276" spans="1:8">
      <c r="A276" s="88" t="s">
        <v>395</v>
      </c>
    </row>
    <row r="279" spans="1:8">
      <c r="A279" s="12" t="s">
        <v>501</v>
      </c>
      <c r="B279" s="99"/>
      <c r="C279" s="477"/>
      <c r="D279" s="478"/>
      <c r="E279" s="99"/>
      <c r="F279" s="478"/>
      <c r="G279" s="478"/>
      <c r="H279" s="478"/>
    </row>
    <row r="280" spans="1:8">
      <c r="A280" s="9"/>
      <c r="B280" s="9"/>
      <c r="C280" s="87"/>
      <c r="D280" s="9"/>
      <c r="E280" s="87"/>
      <c r="F280" s="9"/>
      <c r="G280" s="87"/>
      <c r="H280" s="13"/>
    </row>
    <row r="281" spans="1:8">
      <c r="A281" s="470"/>
      <c r="B281" s="50"/>
      <c r="C281" s="697" t="s">
        <v>10</v>
      </c>
      <c r="D281" s="697"/>
      <c r="E281" s="50"/>
      <c r="F281" s="697" t="s">
        <v>40</v>
      </c>
      <c r="G281" s="697"/>
      <c r="H281" s="697"/>
    </row>
    <row r="282" spans="1:8">
      <c r="A282" s="107" t="s">
        <v>0</v>
      </c>
      <c r="B282" s="50"/>
      <c r="C282" s="107" t="s">
        <v>41</v>
      </c>
      <c r="D282" s="107" t="s">
        <v>42</v>
      </c>
      <c r="E282" s="50"/>
      <c r="F282" s="471" t="s">
        <v>18</v>
      </c>
      <c r="G282" s="471" t="s">
        <v>19</v>
      </c>
      <c r="H282" s="471" t="s">
        <v>20</v>
      </c>
    </row>
    <row r="283" spans="1:8">
      <c r="A283" s="30" t="s">
        <v>4</v>
      </c>
      <c r="B283" s="29"/>
      <c r="C283" s="450">
        <v>1730219</v>
      </c>
      <c r="D283" s="482">
        <v>1</v>
      </c>
      <c r="E283" s="71"/>
      <c r="F283" s="586">
        <v>8.5429069961663801E-2</v>
      </c>
      <c r="G283" s="586">
        <v>0.72083071564929102</v>
      </c>
      <c r="H283" s="586">
        <v>0.19374021438904601</v>
      </c>
    </row>
    <row r="284" spans="1:8">
      <c r="A284" s="30" t="s">
        <v>5</v>
      </c>
      <c r="B284" s="29"/>
      <c r="C284" s="452">
        <v>200006</v>
      </c>
      <c r="D284" s="482">
        <v>1</v>
      </c>
      <c r="E284" s="71"/>
      <c r="F284" s="591">
        <v>0.52252932412027642</v>
      </c>
      <c r="G284" s="591">
        <v>0.42040238792836215</v>
      </c>
      <c r="H284" s="591">
        <v>5.7068287951361457E-2</v>
      </c>
    </row>
    <row r="285" spans="1:8">
      <c r="A285" s="30" t="s">
        <v>50</v>
      </c>
      <c r="B285" s="29"/>
      <c r="C285" s="698" t="s">
        <v>391</v>
      </c>
      <c r="D285" s="698"/>
      <c r="E285" s="698"/>
      <c r="F285" s="698"/>
      <c r="G285" s="698"/>
      <c r="H285" s="698"/>
    </row>
    <row r="286" spans="1:8">
      <c r="A286" s="30" t="s">
        <v>403</v>
      </c>
      <c r="B286" s="29"/>
      <c r="C286" s="489"/>
      <c r="D286" s="482"/>
      <c r="E286" s="29"/>
      <c r="F286" s="474"/>
      <c r="G286" s="474"/>
      <c r="H286" s="474"/>
    </row>
    <row r="287" spans="1:8">
      <c r="A287" s="30" t="s">
        <v>7</v>
      </c>
      <c r="B287" s="29"/>
      <c r="C287" s="695" t="s">
        <v>391</v>
      </c>
      <c r="D287" s="695"/>
      <c r="E287" s="695"/>
      <c r="F287" s="695"/>
      <c r="G287" s="695"/>
      <c r="H287" s="695"/>
    </row>
    <row r="288" spans="1:8">
      <c r="A288" s="30" t="s">
        <v>184</v>
      </c>
      <c r="B288" s="29"/>
      <c r="C288" s="695" t="s">
        <v>391</v>
      </c>
      <c r="D288" s="695"/>
      <c r="E288" s="695"/>
      <c r="F288" s="695"/>
      <c r="G288" s="695"/>
      <c r="H288" s="695"/>
    </row>
    <row r="289" spans="1:8">
      <c r="A289" s="30" t="s">
        <v>363</v>
      </c>
      <c r="B289" s="29"/>
      <c r="C289" s="695" t="s">
        <v>391</v>
      </c>
      <c r="D289" s="695"/>
      <c r="E289" s="695"/>
      <c r="F289" s="695"/>
      <c r="G289" s="695"/>
      <c r="H289" s="695"/>
    </row>
    <row r="290" spans="1:8">
      <c r="A290" s="30" t="s">
        <v>8</v>
      </c>
      <c r="B290" s="29"/>
      <c r="C290" s="452">
        <v>202107</v>
      </c>
      <c r="D290" s="482">
        <v>1</v>
      </c>
      <c r="E290" s="71"/>
      <c r="F290" s="591">
        <v>7.4010301473971696E-2</v>
      </c>
      <c r="G290" s="591">
        <v>0.36347083475584702</v>
      </c>
      <c r="H290" s="591">
        <v>0.56251886377018101</v>
      </c>
    </row>
    <row r="291" spans="1:8">
      <c r="A291" s="696" t="s">
        <v>82</v>
      </c>
      <c r="B291" s="696"/>
      <c r="C291" s="452"/>
      <c r="D291" s="482">
        <v>1</v>
      </c>
      <c r="E291" s="71"/>
      <c r="F291" s="591">
        <v>0.19097583836700688</v>
      </c>
      <c r="G291" s="591">
        <v>1.5361383045198918E-3</v>
      </c>
      <c r="H291" s="591">
        <v>0.80748802332847325</v>
      </c>
    </row>
    <row r="292" spans="1:8">
      <c r="A292" s="30" t="s">
        <v>9</v>
      </c>
      <c r="B292" s="29"/>
      <c r="C292" s="452">
        <v>106164</v>
      </c>
      <c r="D292" s="482">
        <v>1</v>
      </c>
      <c r="E292" s="71"/>
      <c r="F292" s="591">
        <v>0.26062213556421598</v>
      </c>
      <c r="G292" s="591">
        <v>0.55545516968100594</v>
      </c>
      <c r="H292" s="591">
        <v>0.18392269475477799</v>
      </c>
    </row>
    <row r="293" spans="1:8">
      <c r="A293" s="29"/>
      <c r="B293" s="29"/>
      <c r="C293" s="29"/>
      <c r="D293" s="29"/>
      <c r="E293" s="29"/>
      <c r="F293" s="29"/>
      <c r="G293" s="29"/>
    </row>
    <row r="294" spans="1:8">
      <c r="A294" s="37" t="s">
        <v>10</v>
      </c>
      <c r="B294" s="95"/>
      <c r="C294" s="96"/>
      <c r="D294" s="475"/>
      <c r="E294" s="95"/>
      <c r="F294" s="475"/>
      <c r="G294" s="475"/>
      <c r="H294" s="475"/>
    </row>
    <row r="295" spans="1:8">
      <c r="A295" s="29" t="s">
        <v>338</v>
      </c>
    </row>
    <row r="296" spans="1:8">
      <c r="A296" s="88" t="s">
        <v>395</v>
      </c>
    </row>
    <row r="299" spans="1:8">
      <c r="A299" s="12" t="s">
        <v>520</v>
      </c>
      <c r="B299" s="99"/>
      <c r="C299" s="477"/>
      <c r="D299" s="478"/>
      <c r="E299" s="99"/>
      <c r="F299" s="478"/>
      <c r="G299" s="478"/>
      <c r="H299" s="478"/>
    </row>
    <row r="300" spans="1:8">
      <c r="A300" s="9"/>
      <c r="B300" s="9"/>
      <c r="C300" s="87"/>
      <c r="D300" s="9"/>
      <c r="E300" s="87"/>
      <c r="F300" s="9"/>
      <c r="G300" s="87"/>
      <c r="H300" s="13"/>
    </row>
    <row r="301" spans="1:8">
      <c r="A301" s="470"/>
      <c r="B301" s="50"/>
      <c r="C301" s="697" t="s">
        <v>10</v>
      </c>
      <c r="D301" s="697"/>
      <c r="E301" s="50"/>
      <c r="F301" s="697" t="s">
        <v>40</v>
      </c>
      <c r="G301" s="697"/>
      <c r="H301" s="697"/>
    </row>
    <row r="302" spans="1:8">
      <c r="A302" s="107" t="s">
        <v>0</v>
      </c>
      <c r="B302" s="50"/>
      <c r="C302" s="107" t="s">
        <v>41</v>
      </c>
      <c r="D302" s="107" t="s">
        <v>42</v>
      </c>
      <c r="E302" s="50"/>
      <c r="F302" s="471" t="s">
        <v>18</v>
      </c>
      <c r="G302" s="471" t="s">
        <v>19</v>
      </c>
      <c r="H302" s="471" t="s">
        <v>20</v>
      </c>
    </row>
    <row r="303" spans="1:8">
      <c r="A303" s="30" t="s">
        <v>4</v>
      </c>
      <c r="B303" s="29"/>
      <c r="C303" s="450">
        <v>1799740</v>
      </c>
      <c r="D303" s="482">
        <v>1</v>
      </c>
      <c r="E303" s="71"/>
      <c r="F303" s="586">
        <v>8.4642781735139505E-2</v>
      </c>
      <c r="G303" s="586">
        <v>0.72511529443141798</v>
      </c>
      <c r="H303" s="586">
        <v>0.19024192383344299</v>
      </c>
    </row>
    <row r="304" spans="1:8">
      <c r="A304" s="30" t="s">
        <v>5</v>
      </c>
      <c r="B304" s="29"/>
      <c r="C304" s="452">
        <v>358183</v>
      </c>
      <c r="D304" s="482">
        <v>1</v>
      </c>
      <c r="E304" s="71"/>
      <c r="F304" s="591">
        <v>0.17375475664674203</v>
      </c>
      <c r="G304" s="591">
        <v>0.56862274312292882</v>
      </c>
      <c r="H304" s="591">
        <v>0.25762250023032918</v>
      </c>
    </row>
    <row r="305" spans="1:8">
      <c r="A305" s="30" t="s">
        <v>50</v>
      </c>
      <c r="B305" s="29"/>
      <c r="C305" s="698" t="s">
        <v>391</v>
      </c>
      <c r="D305" s="698"/>
      <c r="E305" s="698"/>
      <c r="F305" s="698"/>
      <c r="G305" s="698"/>
      <c r="H305" s="698"/>
    </row>
    <row r="306" spans="1:8">
      <c r="A306" s="30" t="s">
        <v>403</v>
      </c>
      <c r="B306" s="29"/>
      <c r="C306" s="489"/>
      <c r="D306" s="482"/>
      <c r="E306" s="29"/>
      <c r="F306" s="474"/>
      <c r="G306" s="474"/>
      <c r="H306" s="474"/>
    </row>
    <row r="307" spans="1:8">
      <c r="A307" s="30" t="s">
        <v>7</v>
      </c>
      <c r="B307" s="29"/>
      <c r="C307" s="695" t="s">
        <v>391</v>
      </c>
      <c r="D307" s="695"/>
      <c r="E307" s="695"/>
      <c r="F307" s="695"/>
      <c r="G307" s="695"/>
      <c r="H307" s="695"/>
    </row>
    <row r="308" spans="1:8">
      <c r="A308" s="30" t="s">
        <v>184</v>
      </c>
      <c r="B308" s="29"/>
      <c r="C308" s="695" t="s">
        <v>391</v>
      </c>
      <c r="D308" s="695"/>
      <c r="E308" s="695"/>
      <c r="F308" s="695"/>
      <c r="G308" s="695"/>
      <c r="H308" s="695"/>
    </row>
    <row r="309" spans="1:8">
      <c r="A309" s="30" t="s">
        <v>363</v>
      </c>
      <c r="B309" s="29"/>
      <c r="C309" s="695" t="s">
        <v>391</v>
      </c>
      <c r="D309" s="695"/>
      <c r="E309" s="695"/>
      <c r="F309" s="695"/>
      <c r="G309" s="695"/>
      <c r="H309" s="695"/>
    </row>
    <row r="310" spans="1:8">
      <c r="A310" s="30" t="s">
        <v>8</v>
      </c>
      <c r="B310" s="29"/>
      <c r="C310" s="452">
        <v>207962</v>
      </c>
      <c r="D310" s="482">
        <v>1</v>
      </c>
      <c r="E310" s="71"/>
      <c r="F310" s="591">
        <v>7.6066781431223002E-2</v>
      </c>
      <c r="G310" s="591">
        <v>0.34734711149152198</v>
      </c>
      <c r="H310" s="591">
        <v>0.57658610707725499</v>
      </c>
    </row>
    <row r="311" spans="1:8">
      <c r="A311" s="696" t="s">
        <v>82</v>
      </c>
      <c r="B311" s="696"/>
      <c r="C311" s="452"/>
      <c r="D311" s="482">
        <v>1</v>
      </c>
      <c r="E311" s="71"/>
      <c r="F311" s="591">
        <v>0.18219823486473932</v>
      </c>
      <c r="G311" s="591">
        <v>6.6314229467583891E-2</v>
      </c>
      <c r="H311" s="591">
        <v>0.75148753566767679</v>
      </c>
    </row>
    <row r="312" spans="1:8">
      <c r="A312" s="30" t="s">
        <v>9</v>
      </c>
      <c r="B312" s="29"/>
      <c r="C312" s="452">
        <v>118428</v>
      </c>
      <c r="D312" s="482">
        <v>1</v>
      </c>
      <c r="E312" s="71"/>
      <c r="F312" s="591">
        <v>0.20475732090384</v>
      </c>
      <c r="G312" s="591">
        <v>0.61184854932955002</v>
      </c>
      <c r="H312" s="591">
        <v>0.18339412976660899</v>
      </c>
    </row>
    <row r="313" spans="1:8">
      <c r="A313" s="29"/>
      <c r="B313" s="29"/>
      <c r="C313" s="29"/>
      <c r="D313" s="29"/>
      <c r="E313" s="29"/>
      <c r="F313" s="29"/>
      <c r="G313" s="29"/>
    </row>
    <row r="314" spans="1:8">
      <c r="A314" s="37" t="s">
        <v>10</v>
      </c>
      <c r="B314" s="95"/>
      <c r="C314" s="96"/>
      <c r="D314" s="475"/>
      <c r="E314" s="95"/>
      <c r="F314" s="475"/>
      <c r="G314" s="475"/>
      <c r="H314" s="475"/>
    </row>
    <row r="315" spans="1:8">
      <c r="A315" s="29" t="s">
        <v>338</v>
      </c>
    </row>
    <row r="316" spans="1:8">
      <c r="A316" s="88" t="s">
        <v>395</v>
      </c>
    </row>
    <row r="319" spans="1:8">
      <c r="A319" s="12" t="s">
        <v>532</v>
      </c>
      <c r="B319" s="99"/>
      <c r="C319" s="477"/>
      <c r="D319" s="478"/>
      <c r="E319" s="99"/>
      <c r="F319" s="478"/>
      <c r="G319" s="478"/>
      <c r="H319" s="478"/>
    </row>
    <row r="320" spans="1:8">
      <c r="A320" s="9"/>
      <c r="B320" s="9"/>
      <c r="C320" s="87"/>
      <c r="D320" s="9"/>
      <c r="E320" s="87"/>
      <c r="F320" s="9"/>
      <c r="G320" s="87"/>
      <c r="H320" s="13"/>
    </row>
    <row r="321" spans="1:8">
      <c r="A321" s="470"/>
      <c r="B321" s="50"/>
      <c r="C321" s="697" t="s">
        <v>10</v>
      </c>
      <c r="D321" s="697"/>
      <c r="E321" s="50"/>
      <c r="F321" s="697" t="s">
        <v>40</v>
      </c>
      <c r="G321" s="697"/>
      <c r="H321" s="697"/>
    </row>
    <row r="322" spans="1:8">
      <c r="A322" s="107" t="s">
        <v>0</v>
      </c>
      <c r="B322" s="50"/>
      <c r="C322" s="107" t="s">
        <v>41</v>
      </c>
      <c r="D322" s="107" t="s">
        <v>42</v>
      </c>
      <c r="E322" s="50"/>
      <c r="F322" s="471" t="s">
        <v>18</v>
      </c>
      <c r="G322" s="471" t="s">
        <v>19</v>
      </c>
      <c r="H322" s="471" t="s">
        <v>20</v>
      </c>
    </row>
    <row r="323" spans="1:8">
      <c r="A323" s="30" t="s">
        <v>4</v>
      </c>
      <c r="B323" s="29"/>
      <c r="C323" s="450">
        <v>1950076</v>
      </c>
      <c r="D323" s="482">
        <v>1</v>
      </c>
      <c r="E323" s="71"/>
      <c r="F323" s="586">
        <v>8.3233166297108405E-2</v>
      </c>
      <c r="G323" s="586">
        <v>0.73700563465218805</v>
      </c>
      <c r="H323" s="586">
        <v>0.17976119905070401</v>
      </c>
    </row>
    <row r="324" spans="1:8">
      <c r="A324" s="30" t="s">
        <v>5</v>
      </c>
      <c r="B324" s="29"/>
      <c r="C324" s="452">
        <v>392907</v>
      </c>
      <c r="D324" s="482">
        <v>1</v>
      </c>
      <c r="E324" s="71"/>
      <c r="F324" s="591">
        <v>0.17330564000000001</v>
      </c>
      <c r="G324" s="591">
        <v>0.57506484000000002</v>
      </c>
      <c r="H324" s="591">
        <v>0.25162952</v>
      </c>
    </row>
    <row r="325" spans="1:8">
      <c r="A325" s="30" t="s">
        <v>50</v>
      </c>
      <c r="B325" s="29"/>
      <c r="C325" s="698" t="s">
        <v>391</v>
      </c>
      <c r="D325" s="698"/>
      <c r="E325" s="698"/>
      <c r="F325" s="698"/>
      <c r="G325" s="698"/>
      <c r="H325" s="698"/>
    </row>
    <row r="326" spans="1:8">
      <c r="A326" s="30" t="s">
        <v>403</v>
      </c>
      <c r="B326" s="29"/>
      <c r="C326" s="489"/>
      <c r="D326" s="482"/>
      <c r="E326" s="29"/>
      <c r="F326" s="474"/>
      <c r="G326" s="474"/>
      <c r="H326" s="474"/>
    </row>
    <row r="327" spans="1:8">
      <c r="A327" s="30" t="s">
        <v>7</v>
      </c>
      <c r="B327" s="29"/>
      <c r="C327" s="695" t="s">
        <v>391</v>
      </c>
      <c r="D327" s="695"/>
      <c r="E327" s="695"/>
      <c r="F327" s="695"/>
      <c r="G327" s="695"/>
      <c r="H327" s="695"/>
    </row>
    <row r="328" spans="1:8">
      <c r="A328" s="30" t="s">
        <v>184</v>
      </c>
      <c r="B328" s="29"/>
      <c r="C328" s="695" t="s">
        <v>391</v>
      </c>
      <c r="D328" s="695"/>
      <c r="E328" s="695"/>
      <c r="F328" s="695"/>
      <c r="G328" s="695"/>
      <c r="H328" s="695"/>
    </row>
    <row r="329" spans="1:8">
      <c r="A329" s="30" t="s">
        <v>363</v>
      </c>
      <c r="B329" s="29"/>
      <c r="C329" s="695" t="s">
        <v>391</v>
      </c>
      <c r="D329" s="695"/>
      <c r="E329" s="695"/>
      <c r="F329" s="695"/>
      <c r="G329" s="695"/>
      <c r="H329" s="695"/>
    </row>
    <row r="330" spans="1:8">
      <c r="A330" s="30" t="s">
        <v>8</v>
      </c>
      <c r="B330" s="29"/>
      <c r="C330" s="452">
        <v>210621</v>
      </c>
      <c r="D330" s="482">
        <v>1</v>
      </c>
      <c r="E330" s="71"/>
      <c r="F330" s="591">
        <v>7.74851510533138E-2</v>
      </c>
      <c r="G330" s="591">
        <v>0.33998509170500602</v>
      </c>
      <c r="H330" s="591">
        <v>0.58252975724168099</v>
      </c>
    </row>
    <row r="331" spans="1:8">
      <c r="A331" s="696" t="s">
        <v>82</v>
      </c>
      <c r="B331" s="696"/>
      <c r="C331" s="452"/>
      <c r="D331" s="482">
        <v>1</v>
      </c>
      <c r="E331" s="71"/>
      <c r="F331" s="591">
        <v>0.17827533920166991</v>
      </c>
      <c r="G331" s="591">
        <v>8.2491483034993401E-2</v>
      </c>
      <c r="H331" s="591">
        <v>0.73923317776333664</v>
      </c>
    </row>
    <row r="332" spans="1:8">
      <c r="A332" s="30" t="s">
        <v>9</v>
      </c>
      <c r="B332" s="29"/>
      <c r="C332" s="452">
        <v>137619</v>
      </c>
      <c r="D332" s="482">
        <v>1</v>
      </c>
      <c r="E332" s="71"/>
      <c r="F332" s="591">
        <v>0.18711805782631799</v>
      </c>
      <c r="G332" s="591">
        <v>0.64483101897267103</v>
      </c>
      <c r="H332" s="591">
        <v>0.168050923201011</v>
      </c>
    </row>
    <row r="333" spans="1:8">
      <c r="A333" s="29"/>
      <c r="B333" s="29"/>
      <c r="C333" s="29"/>
      <c r="D333" s="29"/>
      <c r="E333" s="29"/>
      <c r="F333" s="29"/>
      <c r="G333" s="29"/>
    </row>
    <row r="334" spans="1:8">
      <c r="A334" s="37" t="s">
        <v>10</v>
      </c>
      <c r="B334" s="95"/>
      <c r="C334" s="96"/>
      <c r="D334" s="475"/>
      <c r="E334" s="95"/>
      <c r="F334" s="475"/>
      <c r="G334" s="475"/>
      <c r="H334" s="475"/>
    </row>
    <row r="335" spans="1:8">
      <c r="A335" s="29" t="s">
        <v>338</v>
      </c>
    </row>
    <row r="336" spans="1:8">
      <c r="A336" s="88" t="s">
        <v>395</v>
      </c>
    </row>
  </sheetData>
  <mergeCells count="90">
    <mergeCell ref="C261:D261"/>
    <mergeCell ref="F261:H261"/>
    <mergeCell ref="C265:H265"/>
    <mergeCell ref="C267:H267"/>
    <mergeCell ref="A271:B271"/>
    <mergeCell ref="C269:H269"/>
    <mergeCell ref="C268:H268"/>
    <mergeCell ref="C241:D241"/>
    <mergeCell ref="F241:H241"/>
    <mergeCell ref="C245:H245"/>
    <mergeCell ref="C247:H247"/>
    <mergeCell ref="A251:B251"/>
    <mergeCell ref="C248:H248"/>
    <mergeCell ref="C249:H249"/>
    <mergeCell ref="C221:D221"/>
    <mergeCell ref="F221:H221"/>
    <mergeCell ref="C225:H225"/>
    <mergeCell ref="C227:H227"/>
    <mergeCell ref="A231:B231"/>
    <mergeCell ref="C158:D158"/>
    <mergeCell ref="F158:H158"/>
    <mergeCell ref="C164:H164"/>
    <mergeCell ref="C166:H166"/>
    <mergeCell ref="A170:B170"/>
    <mergeCell ref="C137:D137"/>
    <mergeCell ref="F137:H137"/>
    <mergeCell ref="C143:H143"/>
    <mergeCell ref="C145:H145"/>
    <mergeCell ref="A148:B148"/>
    <mergeCell ref="A30:B30"/>
    <mergeCell ref="A49:B49"/>
    <mergeCell ref="F57:H57"/>
    <mergeCell ref="C65:H65"/>
    <mergeCell ref="A68:B68"/>
    <mergeCell ref="C38:D38"/>
    <mergeCell ref="F38:H38"/>
    <mergeCell ref="C116:D116"/>
    <mergeCell ref="F116:H116"/>
    <mergeCell ref="C84:H84"/>
    <mergeCell ref="C122:H122"/>
    <mergeCell ref="C124:H124"/>
    <mergeCell ref="F95:H95"/>
    <mergeCell ref="C101:H101"/>
    <mergeCell ref="A127:B127"/>
    <mergeCell ref="C19:D19"/>
    <mergeCell ref="F19:H19"/>
    <mergeCell ref="C25:H25"/>
    <mergeCell ref="C27:H27"/>
    <mergeCell ref="C63:H63"/>
    <mergeCell ref="C44:H44"/>
    <mergeCell ref="C46:H46"/>
    <mergeCell ref="C57:D57"/>
    <mergeCell ref="C76:D76"/>
    <mergeCell ref="F76:H76"/>
    <mergeCell ref="C103:H103"/>
    <mergeCell ref="A106:B106"/>
    <mergeCell ref="C82:H82"/>
    <mergeCell ref="A87:B87"/>
    <mergeCell ref="C95:D95"/>
    <mergeCell ref="C200:D200"/>
    <mergeCell ref="F200:H200"/>
    <mergeCell ref="C206:H206"/>
    <mergeCell ref="C208:H208"/>
    <mergeCell ref="A212:B212"/>
    <mergeCell ref="C179:D179"/>
    <mergeCell ref="F179:H179"/>
    <mergeCell ref="C185:H185"/>
    <mergeCell ref="C187:H187"/>
    <mergeCell ref="A191:B191"/>
    <mergeCell ref="C289:H289"/>
    <mergeCell ref="A291:B291"/>
    <mergeCell ref="C281:D281"/>
    <mergeCell ref="F281:H281"/>
    <mergeCell ref="C285:H285"/>
    <mergeCell ref="C287:H287"/>
    <mergeCell ref="C288:H288"/>
    <mergeCell ref="C309:H309"/>
    <mergeCell ref="A311:B311"/>
    <mergeCell ref="C301:D301"/>
    <mergeCell ref="F301:H301"/>
    <mergeCell ref="C305:H305"/>
    <mergeCell ref="C307:H307"/>
    <mergeCell ref="C308:H308"/>
    <mergeCell ref="C329:H329"/>
    <mergeCell ref="A331:B331"/>
    <mergeCell ref="C321:D321"/>
    <mergeCell ref="F321:H321"/>
    <mergeCell ref="C325:H325"/>
    <mergeCell ref="C327:H327"/>
    <mergeCell ref="C328:H328"/>
  </mergeCells>
  <phoneticPr fontId="9" type="noConversion"/>
  <pageMargins left="0.25" right="0.25" top="0.75" bottom="0.75" header="0.3" footer="0.3"/>
  <pageSetup fitToHeight="0" orientation="portrait" r:id="rId1"/>
  <headerFooter alignWithMargins="0">
    <oddHeader>&amp;C&amp;A</oddHeader>
    <oddFooter>&amp;L&amp;D&amp;R&amp;F</oddFooter>
  </headerFooter>
  <rowBreaks count="2" manualBreakCount="2">
    <brk id="54" max="16383" man="1"/>
    <brk id="92"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C378"/>
  <sheetViews>
    <sheetView showGridLines="0" zoomScale="90" zoomScaleNormal="90" workbookViewId="0"/>
  </sheetViews>
  <sheetFormatPr baseColWidth="10" defaultRowHeight="15"/>
  <cols>
    <col min="1" max="1" width="12.625" style="13" customWidth="1"/>
    <col min="2" max="2" width="1.125" style="13" customWidth="1"/>
    <col min="3" max="4" width="10.375" style="13" customWidth="1"/>
    <col min="5" max="5" width="1.125" style="13" customWidth="1"/>
    <col min="6" max="6" width="11.5" style="13" bestFit="1" customWidth="1"/>
    <col min="7" max="7" width="9.625" style="13" bestFit="1" customWidth="1"/>
    <col min="8" max="8" width="10.875" style="13" bestFit="1" customWidth="1"/>
    <col min="9" max="16384" width="11" style="13"/>
  </cols>
  <sheetData>
    <row r="1" spans="1:29" ht="15.75" customHeight="1">
      <c r="A1" s="10" t="s">
        <v>303</v>
      </c>
      <c r="B1" s="74"/>
      <c r="F1" s="75"/>
    </row>
    <row r="2" spans="1:29" ht="15.75" customHeight="1">
      <c r="A2" s="12" t="s">
        <v>190</v>
      </c>
      <c r="B2" s="74"/>
      <c r="F2" s="75"/>
      <c r="H2" s="11"/>
    </row>
    <row r="3" spans="1:29" s="76" customFormat="1" ht="8.25" customHeight="1">
      <c r="A3" s="18"/>
      <c r="B3" s="18"/>
      <c r="C3" s="18"/>
      <c r="D3" s="18"/>
      <c r="E3" s="18"/>
      <c r="F3" s="18"/>
      <c r="G3" s="18"/>
    </row>
    <row r="4" spans="1:29" ht="12.75" customHeight="1" thickBot="1">
      <c r="A4" s="91"/>
      <c r="B4" s="92"/>
      <c r="C4" s="699" t="s">
        <v>10</v>
      </c>
      <c r="D4" s="699"/>
      <c r="E4" s="92"/>
      <c r="F4" s="93" t="s">
        <v>40</v>
      </c>
      <c r="G4" s="93"/>
      <c r="H4" s="93"/>
    </row>
    <row r="5" spans="1:29" s="76" customFormat="1" ht="15.75" customHeight="1" thickTop="1">
      <c r="A5" s="94" t="s">
        <v>0</v>
      </c>
      <c r="B5" s="18"/>
      <c r="C5" s="280" t="s">
        <v>41</v>
      </c>
      <c r="D5" s="280" t="s">
        <v>42</v>
      </c>
      <c r="E5" s="281"/>
      <c r="F5" s="282" t="s">
        <v>18</v>
      </c>
      <c r="G5" s="282" t="s">
        <v>19</v>
      </c>
      <c r="H5" s="282" t="s">
        <v>20</v>
      </c>
    </row>
    <row r="6" spans="1:29" ht="5.0999999999999996" customHeight="1">
      <c r="A6" s="18"/>
      <c r="B6" s="18"/>
      <c r="C6" s="18"/>
      <c r="D6" s="18"/>
      <c r="E6" s="18"/>
      <c r="F6" s="18"/>
      <c r="G6" s="18"/>
      <c r="H6" s="18"/>
    </row>
    <row r="7" spans="1:29" ht="15.75" hidden="1" customHeight="1">
      <c r="A7" s="9" t="s">
        <v>2</v>
      </c>
      <c r="B7" s="9"/>
      <c r="C7" s="700" t="s">
        <v>34</v>
      </c>
      <c r="D7" s="700"/>
      <c r="E7" s="700"/>
      <c r="F7" s="700"/>
      <c r="G7" s="700"/>
      <c r="H7" s="700"/>
    </row>
    <row r="8" spans="1:29" ht="15.75" hidden="1" customHeight="1">
      <c r="A8" s="9" t="s">
        <v>3</v>
      </c>
      <c r="B8" s="9"/>
      <c r="C8" s="283"/>
      <c r="D8" s="284"/>
      <c r="E8" s="285"/>
      <c r="F8" s="284"/>
      <c r="G8" s="284"/>
      <c r="H8" s="284"/>
    </row>
    <row r="9" spans="1:29" ht="15.75" customHeight="1">
      <c r="A9" s="9" t="s">
        <v>4</v>
      </c>
      <c r="B9" s="9"/>
      <c r="C9" s="100">
        <v>107171</v>
      </c>
      <c r="D9" s="101">
        <v>1</v>
      </c>
      <c r="E9" s="9"/>
      <c r="F9" s="101">
        <v>0.11723320674436181</v>
      </c>
      <c r="G9" s="101">
        <v>0.76958318948222937</v>
      </c>
      <c r="H9" s="101">
        <v>0.11318360377340884</v>
      </c>
    </row>
    <row r="10" spans="1:29" ht="15.75" customHeight="1">
      <c r="A10" s="9" t="s">
        <v>5</v>
      </c>
      <c r="B10" s="9"/>
      <c r="C10" s="700" t="s">
        <v>34</v>
      </c>
      <c r="D10" s="700"/>
      <c r="E10" s="700"/>
      <c r="F10" s="700"/>
      <c r="G10" s="700"/>
      <c r="H10" s="700"/>
    </row>
    <row r="11" spans="1:29" ht="15.75" customHeight="1">
      <c r="A11" s="9" t="s">
        <v>50</v>
      </c>
      <c r="B11" s="9"/>
      <c r="C11" s="700" t="s">
        <v>34</v>
      </c>
      <c r="D11" s="700"/>
      <c r="E11" s="700"/>
      <c r="F11" s="700"/>
      <c r="G11" s="700"/>
      <c r="H11" s="700"/>
    </row>
    <row r="12" spans="1:29" ht="15.75" customHeight="1">
      <c r="A12" s="9" t="s">
        <v>6</v>
      </c>
      <c r="B12" s="9"/>
      <c r="C12" s="100">
        <v>2994</v>
      </c>
      <c r="D12" s="101">
        <v>1</v>
      </c>
      <c r="E12" s="9"/>
      <c r="F12" s="101">
        <v>3.6072144288577156E-2</v>
      </c>
      <c r="G12" s="101">
        <v>0.40414161656646624</v>
      </c>
      <c r="H12" s="101">
        <v>0.55978623914495662</v>
      </c>
    </row>
    <row r="13" spans="1:29" ht="15.75" customHeight="1">
      <c r="A13" s="9" t="s">
        <v>7</v>
      </c>
      <c r="B13" s="9"/>
      <c r="C13" s="700" t="s">
        <v>34</v>
      </c>
      <c r="D13" s="700"/>
      <c r="E13" s="700"/>
      <c r="F13" s="700"/>
      <c r="G13" s="700"/>
      <c r="H13" s="700"/>
    </row>
    <row r="14" spans="1:29" ht="15.75" customHeight="1">
      <c r="A14" s="9" t="s">
        <v>184</v>
      </c>
      <c r="B14" s="9"/>
      <c r="C14" s="286"/>
      <c r="D14" s="286"/>
      <c r="E14" s="286"/>
      <c r="F14" s="286"/>
      <c r="G14" s="286"/>
      <c r="H14" s="286"/>
      <c r="O14" s="13">
        <v>2715</v>
      </c>
      <c r="AC14" s="13">
        <v>0.78036257110928176</v>
      </c>
    </row>
    <row r="15" spans="1:29" ht="15.75" customHeight="1">
      <c r="A15" s="9" t="s">
        <v>8</v>
      </c>
      <c r="B15" s="9"/>
      <c r="C15" s="100">
        <v>18010</v>
      </c>
      <c r="D15" s="101">
        <v>1</v>
      </c>
      <c r="E15" s="9"/>
      <c r="F15" s="101">
        <v>9.1282620766240982E-2</v>
      </c>
      <c r="G15" s="101">
        <v>0.56746252082176574</v>
      </c>
      <c r="H15" s="101">
        <v>0.34125485841199332</v>
      </c>
    </row>
    <row r="16" spans="1:29" ht="15.75" customHeight="1">
      <c r="A16" s="9" t="s">
        <v>82</v>
      </c>
      <c r="B16" s="9"/>
      <c r="C16" s="100">
        <v>1264</v>
      </c>
      <c r="D16" s="101">
        <v>1</v>
      </c>
      <c r="E16" s="9"/>
      <c r="F16" s="101">
        <v>0.20174050632911392</v>
      </c>
      <c r="G16" s="101">
        <v>0</v>
      </c>
      <c r="H16" s="101">
        <v>0.79825949367088611</v>
      </c>
    </row>
    <row r="17" spans="1:9" ht="15.75" customHeight="1">
      <c r="A17" s="9" t="s">
        <v>9</v>
      </c>
      <c r="B17" s="9"/>
      <c r="C17" s="100">
        <v>2116</v>
      </c>
      <c r="D17" s="101">
        <v>1</v>
      </c>
      <c r="E17" s="9"/>
      <c r="F17" s="101">
        <v>0.33553875236294894</v>
      </c>
      <c r="G17" s="101">
        <v>0.24054820415879016</v>
      </c>
      <c r="H17" s="101">
        <v>0.42391304347826086</v>
      </c>
    </row>
    <row r="18" spans="1:9" ht="5.0999999999999996" customHeight="1">
      <c r="B18" s="9"/>
      <c r="C18" s="287"/>
      <c r="D18" s="288"/>
      <c r="E18" s="9"/>
      <c r="F18" s="288"/>
      <c r="G18" s="289"/>
      <c r="H18" s="290"/>
    </row>
    <row r="19" spans="1:9" ht="15.75" customHeight="1">
      <c r="A19" s="22" t="s">
        <v>10</v>
      </c>
      <c r="B19" s="23"/>
      <c r="C19" s="291">
        <v>113545</v>
      </c>
      <c r="D19" s="292">
        <v>1</v>
      </c>
      <c r="E19" s="23"/>
      <c r="F19" s="292">
        <v>0.17264615243125045</v>
      </c>
      <c r="G19" s="292">
        <v>0.35356825255187141</v>
      </c>
      <c r="H19" s="292">
        <v>0.47378559501687811</v>
      </c>
      <c r="I19" s="293"/>
    </row>
    <row r="20" spans="1:9" ht="14.1" customHeight="1">
      <c r="A20" s="9"/>
      <c r="B20" s="9"/>
      <c r="C20" s="87"/>
      <c r="D20" s="9"/>
      <c r="E20" s="87"/>
      <c r="F20" s="9"/>
      <c r="G20" s="87"/>
    </row>
    <row r="21" spans="1:9" ht="14.1" customHeight="1">
      <c r="A21" s="9"/>
      <c r="B21" s="9"/>
      <c r="C21" s="87"/>
      <c r="D21" s="9"/>
      <c r="E21" s="87"/>
      <c r="F21" s="9"/>
      <c r="G21" s="87"/>
    </row>
    <row r="22" spans="1:9">
      <c r="C22" s="101"/>
    </row>
    <row r="23" spans="1:9">
      <c r="A23" s="12" t="s">
        <v>207</v>
      </c>
      <c r="B23" s="74"/>
      <c r="F23" s="75"/>
    </row>
    <row r="24" spans="1:9" ht="8.1" customHeight="1">
      <c r="A24" s="18"/>
      <c r="B24" s="18"/>
      <c r="C24" s="18"/>
      <c r="D24" s="18"/>
      <c r="E24" s="18"/>
      <c r="F24" s="18"/>
      <c r="G24" s="18"/>
      <c r="H24" s="76"/>
    </row>
    <row r="25" spans="1:9" ht="15.75" thickBot="1">
      <c r="A25" s="91"/>
      <c r="B25" s="92"/>
      <c r="C25" s="699" t="s">
        <v>10</v>
      </c>
      <c r="D25" s="699"/>
      <c r="E25" s="92"/>
      <c r="F25" s="93" t="s">
        <v>40</v>
      </c>
      <c r="G25" s="93"/>
      <c r="H25" s="93"/>
    </row>
    <row r="26" spans="1:9" ht="15.75" thickTop="1">
      <c r="A26" s="94" t="s">
        <v>0</v>
      </c>
      <c r="B26" s="18"/>
      <c r="C26" s="280" t="s">
        <v>41</v>
      </c>
      <c r="D26" s="280" t="s">
        <v>42</v>
      </c>
      <c r="E26" s="281"/>
      <c r="F26" s="282" t="s">
        <v>18</v>
      </c>
      <c r="G26" s="282" t="s">
        <v>19</v>
      </c>
      <c r="H26" s="282" t="s">
        <v>20</v>
      </c>
    </row>
    <row r="27" spans="1:9" ht="8.1" customHeight="1">
      <c r="A27" s="18"/>
      <c r="B27" s="18"/>
      <c r="C27" s="18"/>
      <c r="D27" s="18"/>
      <c r="E27" s="18"/>
      <c r="F27" s="18"/>
      <c r="G27" s="18"/>
      <c r="H27" s="18"/>
    </row>
    <row r="28" spans="1:9" hidden="1">
      <c r="A28" s="9" t="s">
        <v>2</v>
      </c>
      <c r="B28" s="9"/>
      <c r="C28" s="701"/>
      <c r="D28" s="701"/>
      <c r="E28" s="701"/>
      <c r="F28" s="701"/>
      <c r="G28" s="701"/>
      <c r="H28" s="701"/>
    </row>
    <row r="29" spans="1:9" hidden="1">
      <c r="A29" s="9" t="s">
        <v>3</v>
      </c>
      <c r="B29" s="9"/>
      <c r="C29" s="283"/>
      <c r="D29" s="284"/>
      <c r="E29" s="285"/>
      <c r="F29" s="284"/>
      <c r="G29" s="284"/>
      <c r="H29" s="284"/>
    </row>
    <row r="30" spans="1:9">
      <c r="A30" s="9" t="s">
        <v>4</v>
      </c>
      <c r="B30" s="9"/>
      <c r="C30" s="294">
        <v>90087</v>
      </c>
      <c r="D30" s="103">
        <v>1</v>
      </c>
      <c r="E30" s="9"/>
      <c r="F30" s="101">
        <v>0.159</v>
      </c>
      <c r="G30" s="101">
        <v>0.71799999999999997</v>
      </c>
      <c r="H30" s="101">
        <v>0.123</v>
      </c>
    </row>
    <row r="31" spans="1:9">
      <c r="A31" s="9" t="s">
        <v>5</v>
      </c>
      <c r="B31" s="9"/>
      <c r="C31" s="700" t="s">
        <v>34</v>
      </c>
      <c r="D31" s="700"/>
      <c r="E31" s="700"/>
      <c r="F31" s="700"/>
      <c r="G31" s="700"/>
      <c r="H31" s="700"/>
    </row>
    <row r="32" spans="1:9">
      <c r="A32" s="9" t="s">
        <v>50</v>
      </c>
      <c r="B32" s="9"/>
      <c r="C32" s="700" t="s">
        <v>34</v>
      </c>
      <c r="D32" s="700"/>
      <c r="E32" s="700"/>
      <c r="F32" s="700"/>
      <c r="G32" s="700"/>
      <c r="H32" s="700"/>
    </row>
    <row r="33" spans="1:8">
      <c r="A33" s="9" t="s">
        <v>6</v>
      </c>
      <c r="B33" s="9"/>
      <c r="C33" s="100">
        <v>3348</v>
      </c>
      <c r="D33" s="103">
        <v>1</v>
      </c>
      <c r="E33" s="9"/>
      <c r="F33" s="101">
        <v>0</v>
      </c>
      <c r="G33" s="101">
        <v>0.46445639187574672</v>
      </c>
      <c r="H33" s="101">
        <v>0.53554360812425328</v>
      </c>
    </row>
    <row r="34" spans="1:8">
      <c r="A34" s="9" t="s">
        <v>7</v>
      </c>
      <c r="B34" s="9"/>
      <c r="C34" s="700" t="s">
        <v>34</v>
      </c>
      <c r="D34" s="700"/>
      <c r="E34" s="700"/>
      <c r="F34" s="700"/>
      <c r="G34" s="700"/>
      <c r="H34" s="700"/>
    </row>
    <row r="35" spans="1:8">
      <c r="A35" s="9" t="s">
        <v>184</v>
      </c>
      <c r="B35" s="9"/>
      <c r="C35" s="286"/>
      <c r="D35" s="286"/>
      <c r="E35" s="286"/>
      <c r="F35" s="286"/>
      <c r="G35" s="286"/>
      <c r="H35" s="286"/>
    </row>
    <row r="36" spans="1:8">
      <c r="A36" s="9" t="s">
        <v>8</v>
      </c>
      <c r="B36" s="9"/>
      <c r="C36" s="100">
        <v>18853</v>
      </c>
      <c r="D36" s="101">
        <v>1</v>
      </c>
      <c r="E36" s="9"/>
      <c r="F36" s="101">
        <v>0.11080464647536201</v>
      </c>
      <c r="G36" s="101">
        <v>0.45223571845329658</v>
      </c>
      <c r="H36" s="101">
        <v>0.43695963507134145</v>
      </c>
    </row>
    <row r="37" spans="1:8">
      <c r="A37" s="9" t="s">
        <v>82</v>
      </c>
      <c r="B37" s="9"/>
      <c r="C37" s="100">
        <v>1624</v>
      </c>
      <c r="D37" s="103">
        <v>1</v>
      </c>
      <c r="E37" s="9"/>
      <c r="F37" s="101">
        <v>0.22660098522167488</v>
      </c>
      <c r="G37" s="101">
        <v>0</v>
      </c>
      <c r="H37" s="101">
        <v>0.77339901477832518</v>
      </c>
    </row>
    <row r="38" spans="1:8">
      <c r="A38" s="9" t="s">
        <v>9</v>
      </c>
      <c r="B38" s="9"/>
      <c r="C38" s="102"/>
      <c r="D38" s="101"/>
      <c r="E38" s="9"/>
      <c r="F38" s="101"/>
      <c r="G38" s="101"/>
      <c r="H38" s="101"/>
    </row>
    <row r="39" spans="1:8" ht="8.1" customHeight="1">
      <c r="B39" s="9"/>
      <c r="C39" s="287"/>
      <c r="D39" s="288"/>
      <c r="E39" s="9"/>
      <c r="F39" s="288"/>
      <c r="G39" s="289"/>
      <c r="H39" s="290"/>
    </row>
    <row r="40" spans="1:8">
      <c r="A40" s="22" t="s">
        <v>10</v>
      </c>
      <c r="B40" s="23"/>
      <c r="C40" s="291"/>
      <c r="D40" s="292"/>
      <c r="E40" s="23"/>
      <c r="F40" s="292"/>
      <c r="G40" s="292"/>
      <c r="H40" s="292"/>
    </row>
    <row r="41" spans="1:8">
      <c r="A41" s="22"/>
      <c r="B41" s="23"/>
      <c r="C41" s="291"/>
      <c r="D41" s="292"/>
      <c r="E41" s="23"/>
      <c r="F41" s="292"/>
      <c r="G41" s="292"/>
      <c r="H41" s="292"/>
    </row>
    <row r="44" spans="1:8">
      <c r="A44" s="12" t="s">
        <v>208</v>
      </c>
      <c r="B44" s="74"/>
      <c r="F44" s="75"/>
    </row>
    <row r="45" spans="1:8" ht="8.1" customHeight="1">
      <c r="A45" s="18"/>
      <c r="B45" s="18"/>
      <c r="C45" s="18"/>
      <c r="D45" s="18"/>
      <c r="E45" s="18"/>
      <c r="F45" s="18"/>
      <c r="G45" s="18"/>
      <c r="H45" s="76"/>
    </row>
    <row r="46" spans="1:8" ht="15.75" thickBot="1">
      <c r="A46" s="91"/>
      <c r="B46" s="92"/>
      <c r="C46" s="699" t="s">
        <v>10</v>
      </c>
      <c r="D46" s="699"/>
      <c r="E46" s="92"/>
      <c r="F46" s="93" t="s">
        <v>40</v>
      </c>
      <c r="G46" s="93"/>
      <c r="H46" s="93"/>
    </row>
    <row r="47" spans="1:8" ht="15.75" thickTop="1">
      <c r="A47" s="94" t="s">
        <v>0</v>
      </c>
      <c r="B47" s="18"/>
      <c r="C47" s="280" t="s">
        <v>41</v>
      </c>
      <c r="D47" s="280" t="s">
        <v>42</v>
      </c>
      <c r="E47" s="281"/>
      <c r="F47" s="282" t="s">
        <v>18</v>
      </c>
      <c r="G47" s="282" t="s">
        <v>19</v>
      </c>
      <c r="H47" s="282" t="s">
        <v>20</v>
      </c>
    </row>
    <row r="48" spans="1:8" ht="8.1" customHeight="1">
      <c r="A48" s="18"/>
      <c r="B48" s="18"/>
      <c r="C48" s="18"/>
      <c r="D48" s="18"/>
      <c r="E48" s="18"/>
      <c r="F48" s="18"/>
      <c r="G48" s="18"/>
      <c r="H48" s="18"/>
    </row>
    <row r="49" spans="1:8" hidden="1">
      <c r="A49" s="9" t="s">
        <v>2</v>
      </c>
      <c r="B49" s="9"/>
      <c r="C49" s="700"/>
      <c r="D49" s="700"/>
      <c r="E49" s="700"/>
      <c r="F49" s="700"/>
      <c r="G49" s="700"/>
      <c r="H49" s="700"/>
    </row>
    <row r="50" spans="1:8" hidden="1">
      <c r="A50" s="9" t="s">
        <v>3</v>
      </c>
      <c r="B50" s="9"/>
      <c r="C50" s="100"/>
      <c r="D50" s="101"/>
      <c r="E50" s="9"/>
      <c r="F50" s="101"/>
      <c r="G50" s="101"/>
      <c r="H50" s="101"/>
    </row>
    <row r="51" spans="1:8">
      <c r="A51" s="9" t="s">
        <v>4</v>
      </c>
      <c r="B51" s="9"/>
      <c r="C51" s="100">
        <v>55717</v>
      </c>
      <c r="D51" s="101">
        <v>1</v>
      </c>
      <c r="E51" s="9"/>
      <c r="F51" s="101">
        <f>21869/C51</f>
        <v>0.39250139095787639</v>
      </c>
      <c r="G51" s="101">
        <f>23654/C51</f>
        <v>0.42453829172424934</v>
      </c>
      <c r="H51" s="101">
        <f>10194/C51</f>
        <v>0.18296031731787427</v>
      </c>
    </row>
    <row r="52" spans="1:8">
      <c r="A52" s="9" t="s">
        <v>5</v>
      </c>
      <c r="B52" s="9"/>
      <c r="C52" s="700" t="s">
        <v>34</v>
      </c>
      <c r="D52" s="700"/>
      <c r="E52" s="700"/>
      <c r="F52" s="700"/>
      <c r="G52" s="700"/>
      <c r="H52" s="700"/>
    </row>
    <row r="53" spans="1:8">
      <c r="A53" s="9" t="s">
        <v>50</v>
      </c>
      <c r="B53" s="9"/>
      <c r="C53" s="700" t="s">
        <v>34</v>
      </c>
      <c r="D53" s="700"/>
      <c r="E53" s="700"/>
      <c r="F53" s="700"/>
      <c r="G53" s="700"/>
      <c r="H53" s="700"/>
    </row>
    <row r="54" spans="1:8">
      <c r="A54" s="9" t="s">
        <v>6</v>
      </c>
      <c r="B54" s="9"/>
      <c r="C54" s="100">
        <v>3161</v>
      </c>
      <c r="D54" s="101">
        <v>1</v>
      </c>
      <c r="E54" s="9"/>
      <c r="F54" s="101">
        <v>3.9228092375830435E-2</v>
      </c>
      <c r="G54" s="101">
        <v>0.44289781714647264</v>
      </c>
      <c r="H54" s="101">
        <v>0.51787409047769695</v>
      </c>
    </row>
    <row r="55" spans="1:8">
      <c r="A55" s="9" t="s">
        <v>7</v>
      </c>
      <c r="B55" s="9"/>
      <c r="C55" s="700" t="s">
        <v>34</v>
      </c>
      <c r="D55" s="700"/>
      <c r="E55" s="700"/>
      <c r="F55" s="700"/>
      <c r="G55" s="700"/>
      <c r="H55" s="700"/>
    </row>
    <row r="56" spans="1:8">
      <c r="A56" s="9" t="s">
        <v>184</v>
      </c>
      <c r="B56" s="9"/>
      <c r="C56" s="286"/>
      <c r="D56" s="286"/>
      <c r="E56" s="286"/>
      <c r="F56" s="286"/>
      <c r="G56" s="286"/>
      <c r="H56" s="286"/>
    </row>
    <row r="57" spans="1:8">
      <c r="A57" s="9" t="s">
        <v>8</v>
      </c>
      <c r="B57" s="9"/>
      <c r="C57" s="100">
        <v>16391</v>
      </c>
      <c r="D57" s="101">
        <v>1</v>
      </c>
      <c r="E57" s="9"/>
      <c r="F57" s="101">
        <v>0.11219571716185711</v>
      </c>
      <c r="G57" s="101">
        <v>0.47452870477701176</v>
      </c>
      <c r="H57" s="101">
        <v>0.41327557806113113</v>
      </c>
    </row>
    <row r="58" spans="1:8">
      <c r="A58" s="9" t="s">
        <v>82</v>
      </c>
      <c r="B58" s="9"/>
      <c r="C58" s="100">
        <v>1957</v>
      </c>
      <c r="D58" s="101">
        <v>1</v>
      </c>
      <c r="E58" s="9"/>
      <c r="F58" s="101">
        <v>0.27184466019417503</v>
      </c>
      <c r="G58" s="101">
        <v>0</v>
      </c>
      <c r="H58" s="101">
        <v>0.72815533980582525</v>
      </c>
    </row>
    <row r="59" spans="1:8">
      <c r="A59" s="9" t="s">
        <v>9</v>
      </c>
      <c r="B59" s="9"/>
      <c r="C59" s="102"/>
      <c r="D59" s="101"/>
      <c r="E59" s="9"/>
      <c r="F59" s="101"/>
      <c r="G59" s="101"/>
      <c r="H59" s="101"/>
    </row>
    <row r="60" spans="1:8" ht="8.1" customHeight="1">
      <c r="B60" s="9"/>
      <c r="C60" s="287"/>
      <c r="D60" s="288"/>
      <c r="E60" s="9"/>
      <c r="F60" s="288"/>
      <c r="G60" s="289"/>
      <c r="H60" s="290"/>
    </row>
    <row r="61" spans="1:8">
      <c r="A61" s="22" t="s">
        <v>10</v>
      </c>
      <c r="B61" s="23"/>
      <c r="C61" s="291"/>
      <c r="D61" s="292"/>
      <c r="E61" s="23"/>
      <c r="F61" s="292"/>
      <c r="G61" s="292"/>
      <c r="H61" s="292"/>
    </row>
    <row r="65" spans="1:8">
      <c r="A65" s="12" t="s">
        <v>209</v>
      </c>
      <c r="B65" s="74"/>
      <c r="F65" s="75"/>
    </row>
    <row r="66" spans="1:8" ht="8.1" customHeight="1">
      <c r="A66" s="18"/>
      <c r="B66" s="18"/>
      <c r="C66" s="18"/>
      <c r="D66" s="18"/>
      <c r="E66" s="18"/>
      <c r="F66" s="18"/>
      <c r="G66" s="18"/>
      <c r="H66" s="76"/>
    </row>
    <row r="67" spans="1:8" ht="15.75" thickBot="1">
      <c r="A67" s="91"/>
      <c r="B67" s="92"/>
      <c r="C67" s="699" t="s">
        <v>10</v>
      </c>
      <c r="D67" s="699"/>
      <c r="E67" s="92"/>
      <c r="F67" s="93" t="s">
        <v>40</v>
      </c>
      <c r="G67" s="93"/>
      <c r="H67" s="93"/>
    </row>
    <row r="68" spans="1:8" ht="15.75" thickTop="1">
      <c r="A68" s="94" t="s">
        <v>0</v>
      </c>
      <c r="B68" s="18"/>
      <c r="C68" s="280" t="s">
        <v>41</v>
      </c>
      <c r="D68" s="280" t="s">
        <v>42</v>
      </c>
      <c r="E68" s="281"/>
      <c r="F68" s="282" t="s">
        <v>18</v>
      </c>
      <c r="G68" s="282" t="s">
        <v>19</v>
      </c>
      <c r="H68" s="282" t="s">
        <v>20</v>
      </c>
    </row>
    <row r="69" spans="1:8" ht="8.1" customHeight="1">
      <c r="A69" s="18"/>
      <c r="B69" s="18"/>
      <c r="C69" s="18"/>
      <c r="D69" s="18"/>
      <c r="E69" s="18"/>
      <c r="F69" s="18"/>
      <c r="G69" s="18"/>
      <c r="H69" s="18"/>
    </row>
    <row r="70" spans="1:8" hidden="1">
      <c r="A70" s="9" t="s">
        <v>2</v>
      </c>
      <c r="B70" s="9"/>
      <c r="C70" s="700"/>
      <c r="D70" s="700"/>
      <c r="E70" s="700"/>
      <c r="F70" s="700"/>
      <c r="G70" s="700"/>
      <c r="H70" s="700"/>
    </row>
    <row r="71" spans="1:8" hidden="1">
      <c r="A71" s="9" t="s">
        <v>3</v>
      </c>
      <c r="B71" s="9"/>
      <c r="C71" s="100"/>
      <c r="D71" s="101"/>
      <c r="E71" s="9"/>
      <c r="F71" s="101"/>
      <c r="G71" s="101"/>
      <c r="H71" s="101"/>
    </row>
    <row r="72" spans="1:8">
      <c r="A72" s="9" t="s">
        <v>4</v>
      </c>
      <c r="B72" s="9"/>
      <c r="C72" s="106">
        <v>54588</v>
      </c>
      <c r="D72" s="101">
        <v>1</v>
      </c>
      <c r="E72" s="9"/>
      <c r="F72" s="101">
        <f>11159/C72</f>
        <v>0.20442221733714369</v>
      </c>
      <c r="G72" s="101">
        <f>33042/C72</f>
        <v>0.60529786766322269</v>
      </c>
      <c r="H72" s="101">
        <f>10387/C72</f>
        <v>0.19027991499963362</v>
      </c>
    </row>
    <row r="73" spans="1:8">
      <c r="A73" s="9" t="s">
        <v>5</v>
      </c>
      <c r="B73" s="9"/>
      <c r="C73" s="700" t="s">
        <v>34</v>
      </c>
      <c r="D73" s="700"/>
      <c r="E73" s="700"/>
      <c r="F73" s="700"/>
      <c r="G73" s="700"/>
      <c r="H73" s="700"/>
    </row>
    <row r="74" spans="1:8">
      <c r="A74" s="9" t="s">
        <v>50</v>
      </c>
      <c r="B74" s="9"/>
      <c r="C74" s="700" t="s">
        <v>34</v>
      </c>
      <c r="D74" s="700"/>
      <c r="E74" s="700"/>
      <c r="F74" s="700"/>
      <c r="G74" s="700"/>
      <c r="H74" s="700"/>
    </row>
    <row r="75" spans="1:8">
      <c r="A75" s="9" t="s">
        <v>6</v>
      </c>
      <c r="B75" s="9"/>
      <c r="C75" s="100">
        <v>2021</v>
      </c>
      <c r="D75" s="101">
        <v>1</v>
      </c>
      <c r="E75" s="9"/>
      <c r="F75" s="101">
        <v>2.4740227610094014E-2</v>
      </c>
      <c r="G75" s="101">
        <v>0.56358238495794166</v>
      </c>
      <c r="H75" s="101">
        <v>0.41167738743196436</v>
      </c>
    </row>
    <row r="76" spans="1:8">
      <c r="A76" s="9" t="s">
        <v>7</v>
      </c>
      <c r="B76" s="9"/>
      <c r="C76" s="700" t="s">
        <v>34</v>
      </c>
      <c r="D76" s="700"/>
      <c r="E76" s="700"/>
      <c r="F76" s="700"/>
      <c r="G76" s="700"/>
      <c r="H76" s="700"/>
    </row>
    <row r="77" spans="1:8">
      <c r="A77" s="9" t="s">
        <v>184</v>
      </c>
      <c r="B77" s="9"/>
      <c r="C77" s="286"/>
      <c r="D77" s="286"/>
      <c r="E77" s="286"/>
      <c r="F77" s="286"/>
      <c r="G77" s="286"/>
      <c r="H77" s="286"/>
    </row>
    <row r="78" spans="1:8">
      <c r="A78" s="9" t="s">
        <v>8</v>
      </c>
      <c r="B78" s="9"/>
      <c r="C78" s="100">
        <v>16591</v>
      </c>
      <c r="D78" s="101">
        <v>1</v>
      </c>
      <c r="E78" s="9"/>
      <c r="F78" s="101">
        <v>0.10547887408836117</v>
      </c>
      <c r="G78" s="101">
        <v>0.54378880115725392</v>
      </c>
      <c r="H78" s="101">
        <v>0.35073232475438493</v>
      </c>
    </row>
    <row r="79" spans="1:8">
      <c r="A79" s="9" t="s">
        <v>82</v>
      </c>
      <c r="B79" s="9"/>
      <c r="C79" s="100">
        <v>2609</v>
      </c>
      <c r="D79" s="101">
        <v>1</v>
      </c>
      <c r="E79" s="9"/>
      <c r="F79" s="101">
        <v>0.41203526255270218</v>
      </c>
      <c r="G79" s="101">
        <v>0</v>
      </c>
      <c r="H79" s="101">
        <v>0.58796473744729782</v>
      </c>
    </row>
    <row r="80" spans="1:8">
      <c r="A80" s="9" t="s">
        <v>9</v>
      </c>
      <c r="B80" s="9"/>
      <c r="C80" s="102"/>
      <c r="D80" s="101"/>
      <c r="E80" s="9"/>
      <c r="F80" s="101"/>
      <c r="G80" s="101"/>
      <c r="H80" s="101"/>
    </row>
    <row r="81" spans="1:8" ht="8.1" customHeight="1">
      <c r="B81" s="9"/>
      <c r="C81" s="287"/>
      <c r="D81" s="288"/>
      <c r="E81" s="9"/>
      <c r="F81" s="288"/>
      <c r="G81" s="289"/>
      <c r="H81" s="290"/>
    </row>
    <row r="82" spans="1:8">
      <c r="A82" s="22" t="s">
        <v>10</v>
      </c>
      <c r="B82" s="23"/>
      <c r="C82" s="291"/>
      <c r="D82" s="292"/>
      <c r="E82" s="23"/>
      <c r="F82" s="292"/>
      <c r="G82" s="292"/>
      <c r="H82" s="292"/>
    </row>
    <row r="86" spans="1:8">
      <c r="A86" s="12" t="s">
        <v>210</v>
      </c>
      <c r="B86" s="74"/>
      <c r="F86" s="75"/>
    </row>
    <row r="87" spans="1:8" ht="8.1" customHeight="1">
      <c r="A87" s="18"/>
      <c r="B87" s="18"/>
      <c r="C87" s="18"/>
      <c r="D87" s="18"/>
      <c r="E87" s="18"/>
      <c r="F87" s="18"/>
      <c r="G87" s="18"/>
      <c r="H87" s="76"/>
    </row>
    <row r="88" spans="1:8" ht="15.75" thickBot="1">
      <c r="A88" s="91"/>
      <c r="B88" s="92"/>
      <c r="C88" s="699" t="s">
        <v>10</v>
      </c>
      <c r="D88" s="699"/>
      <c r="E88" s="92"/>
      <c r="F88" s="93" t="s">
        <v>40</v>
      </c>
      <c r="G88" s="93"/>
      <c r="H88" s="93"/>
    </row>
    <row r="89" spans="1:8" ht="15.75" thickTop="1">
      <c r="A89" s="94" t="s">
        <v>0</v>
      </c>
      <c r="B89" s="18"/>
      <c r="C89" s="280" t="s">
        <v>41</v>
      </c>
      <c r="D89" s="280" t="s">
        <v>42</v>
      </c>
      <c r="E89" s="281"/>
      <c r="F89" s="282" t="s">
        <v>18</v>
      </c>
      <c r="G89" s="282" t="s">
        <v>19</v>
      </c>
      <c r="H89" s="282" t="s">
        <v>20</v>
      </c>
    </row>
    <row r="90" spans="1:8" ht="8.1" customHeight="1">
      <c r="A90" s="18"/>
      <c r="B90" s="18"/>
      <c r="C90" s="18"/>
      <c r="D90" s="18"/>
      <c r="E90" s="18"/>
      <c r="F90" s="18"/>
      <c r="G90" s="18"/>
      <c r="H90" s="18"/>
    </row>
    <row r="91" spans="1:8" hidden="1">
      <c r="A91" s="9" t="s">
        <v>2</v>
      </c>
      <c r="B91" s="9"/>
      <c r="C91" s="700"/>
      <c r="D91" s="700"/>
      <c r="E91" s="700"/>
      <c r="F91" s="700"/>
      <c r="G91" s="700"/>
      <c r="H91" s="700"/>
    </row>
    <row r="92" spans="1:8" hidden="1">
      <c r="A92" s="9" t="s">
        <v>3</v>
      </c>
      <c r="B92" s="9"/>
      <c r="C92" s="100"/>
      <c r="D92" s="101"/>
      <c r="E92" s="9"/>
      <c r="F92" s="101"/>
      <c r="G92" s="101"/>
      <c r="H92" s="101"/>
    </row>
    <row r="93" spans="1:8">
      <c r="A93" s="9" t="s">
        <v>4</v>
      </c>
      <c r="B93" s="9"/>
      <c r="C93" s="100">
        <v>584</v>
      </c>
      <c r="D93" s="103">
        <v>1</v>
      </c>
      <c r="E93" s="9"/>
      <c r="F93" s="101">
        <f>+-7676/C93</f>
        <v>-13.143835616438356</v>
      </c>
      <c r="G93" s="101">
        <f>+-3062/C93</f>
        <v>-5.243150684931507</v>
      </c>
      <c r="H93" s="101">
        <f>11322/C93</f>
        <v>19.386986301369863</v>
      </c>
    </row>
    <row r="94" spans="1:8">
      <c r="A94" s="9" t="s">
        <v>5</v>
      </c>
      <c r="B94" s="9"/>
      <c r="C94" s="700" t="s">
        <v>34</v>
      </c>
      <c r="D94" s="700"/>
      <c r="E94" s="700"/>
      <c r="F94" s="700"/>
      <c r="G94" s="700"/>
      <c r="H94" s="700"/>
    </row>
    <row r="95" spans="1:8">
      <c r="A95" s="9" t="s">
        <v>50</v>
      </c>
      <c r="B95" s="9"/>
      <c r="C95" s="700" t="s">
        <v>34</v>
      </c>
      <c r="D95" s="700"/>
      <c r="E95" s="700"/>
      <c r="F95" s="700"/>
      <c r="G95" s="700"/>
      <c r="H95" s="700"/>
    </row>
    <row r="96" spans="1:8" ht="17.25">
      <c r="A96" s="9" t="s">
        <v>407</v>
      </c>
      <c r="B96" s="9"/>
      <c r="C96" s="100">
        <v>2268</v>
      </c>
      <c r="D96" s="103">
        <v>1</v>
      </c>
      <c r="E96" s="9"/>
      <c r="F96" s="101">
        <v>2.6455026455026454E-3</v>
      </c>
      <c r="G96" s="101">
        <v>0.37566137566137564</v>
      </c>
      <c r="H96" s="101">
        <v>0.62169312169312174</v>
      </c>
    </row>
    <row r="97" spans="1:8">
      <c r="A97" s="9" t="s">
        <v>7</v>
      </c>
      <c r="B97" s="9"/>
      <c r="C97" s="700"/>
      <c r="D97" s="700"/>
      <c r="E97" s="700"/>
      <c r="F97" s="700"/>
      <c r="G97" s="700"/>
      <c r="H97" s="700"/>
    </row>
    <row r="98" spans="1:8">
      <c r="A98" s="9" t="s">
        <v>184</v>
      </c>
      <c r="B98" s="9"/>
      <c r="C98" s="700" t="s">
        <v>34</v>
      </c>
      <c r="D98" s="700"/>
      <c r="E98" s="700"/>
      <c r="F98" s="700"/>
      <c r="G98" s="700"/>
      <c r="H98" s="700"/>
    </row>
    <row r="99" spans="1:8">
      <c r="A99" s="9" t="s">
        <v>8</v>
      </c>
      <c r="B99" s="9"/>
      <c r="C99" s="100">
        <v>18439</v>
      </c>
      <c r="D99" s="101">
        <v>0.99999999999999989</v>
      </c>
      <c r="E99" s="9"/>
      <c r="F99" s="101">
        <v>0.10835728618688649</v>
      </c>
      <c r="G99" s="101">
        <v>0.54970443082596665</v>
      </c>
      <c r="H99" s="101">
        <v>0.34193828298714679</v>
      </c>
    </row>
    <row r="100" spans="1:8">
      <c r="A100" s="9" t="s">
        <v>82</v>
      </c>
      <c r="B100" s="9"/>
      <c r="C100" s="100">
        <v>2450</v>
      </c>
      <c r="D100" s="101">
        <v>1</v>
      </c>
      <c r="E100" s="9"/>
      <c r="F100" s="101">
        <v>0.32734693877551019</v>
      </c>
      <c r="G100" s="101">
        <v>2.8571428571428571E-3</v>
      </c>
      <c r="H100" s="101">
        <v>0.66979591836734698</v>
      </c>
    </row>
    <row r="101" spans="1:8">
      <c r="A101" s="9" t="s">
        <v>9</v>
      </c>
      <c r="B101" s="9"/>
      <c r="C101" s="102">
        <v>3978</v>
      </c>
      <c r="D101" s="295">
        <v>1</v>
      </c>
      <c r="E101" s="9"/>
      <c r="F101" s="171">
        <v>0.38436400201106086</v>
      </c>
      <c r="G101" s="171">
        <v>0.32931121166415284</v>
      </c>
      <c r="H101" s="171">
        <v>0.28632478632478631</v>
      </c>
    </row>
    <row r="102" spans="1:8" ht="8.1" customHeight="1">
      <c r="B102" s="9"/>
      <c r="C102" s="287"/>
      <c r="D102" s="288"/>
      <c r="E102" s="9"/>
      <c r="F102" s="288"/>
      <c r="G102" s="289"/>
      <c r="H102" s="290"/>
    </row>
    <row r="103" spans="1:8">
      <c r="A103" s="22" t="s">
        <v>10</v>
      </c>
      <c r="B103" s="23"/>
      <c r="C103" s="291"/>
      <c r="D103" s="292"/>
      <c r="E103" s="23"/>
      <c r="F103" s="292"/>
      <c r="G103" s="292"/>
      <c r="H103" s="292"/>
    </row>
    <row r="105" spans="1:8">
      <c r="A105" s="29" t="s">
        <v>339</v>
      </c>
    </row>
    <row r="106" spans="1:8">
      <c r="A106" s="29" t="s">
        <v>340</v>
      </c>
    </row>
    <row r="107" spans="1:8">
      <c r="A107" s="29" t="s">
        <v>341</v>
      </c>
    </row>
    <row r="108" spans="1:8">
      <c r="A108" s="29" t="s">
        <v>342</v>
      </c>
    </row>
    <row r="111" spans="1:8">
      <c r="A111" s="12" t="s">
        <v>356</v>
      </c>
      <c r="B111" s="74"/>
      <c r="F111" s="75"/>
    </row>
    <row r="112" spans="1:8">
      <c r="A112" s="18"/>
      <c r="B112" s="18"/>
      <c r="C112" s="18"/>
      <c r="D112" s="18"/>
      <c r="E112" s="18"/>
      <c r="F112" s="18"/>
      <c r="G112" s="18"/>
      <c r="H112" s="76"/>
    </row>
    <row r="113" spans="1:8" ht="15.75" thickBot="1">
      <c r="A113" s="91"/>
      <c r="B113" s="92"/>
      <c r="C113" s="699" t="s">
        <v>10</v>
      </c>
      <c r="D113" s="699"/>
      <c r="E113" s="92"/>
      <c r="F113" s="93" t="s">
        <v>40</v>
      </c>
      <c r="G113" s="93"/>
      <c r="H113" s="93"/>
    </row>
    <row r="114" spans="1:8" ht="15.75" thickTop="1">
      <c r="A114" s="94" t="s">
        <v>0</v>
      </c>
      <c r="B114" s="18"/>
      <c r="C114" s="280" t="s">
        <v>41</v>
      </c>
      <c r="D114" s="280" t="s">
        <v>42</v>
      </c>
      <c r="E114" s="281"/>
      <c r="F114" s="282" t="s">
        <v>18</v>
      </c>
      <c r="G114" s="282" t="s">
        <v>19</v>
      </c>
      <c r="H114" s="282" t="s">
        <v>20</v>
      </c>
    </row>
    <row r="115" spans="1:8">
      <c r="A115" s="18"/>
      <c r="B115" s="18"/>
      <c r="C115" s="18"/>
      <c r="D115" s="18"/>
      <c r="E115" s="18"/>
      <c r="F115" s="18"/>
      <c r="G115" s="18"/>
      <c r="H115" s="18"/>
    </row>
    <row r="116" spans="1:8" hidden="1">
      <c r="A116" s="9" t="s">
        <v>2</v>
      </c>
      <c r="B116" s="9"/>
      <c r="C116" s="700"/>
      <c r="D116" s="700"/>
      <c r="E116" s="700"/>
      <c r="F116" s="700"/>
      <c r="G116" s="700"/>
      <c r="H116" s="700"/>
    </row>
    <row r="117" spans="1:8" hidden="1">
      <c r="A117" s="9" t="s">
        <v>3</v>
      </c>
      <c r="B117" s="9"/>
      <c r="C117" s="100"/>
      <c r="D117" s="101"/>
      <c r="E117" s="9"/>
      <c r="F117" s="101"/>
      <c r="G117" s="101"/>
      <c r="H117" s="101"/>
    </row>
    <row r="118" spans="1:8">
      <c r="A118" s="9" t="s">
        <v>4</v>
      </c>
      <c r="B118" s="9"/>
      <c r="C118" s="100">
        <v>75130</v>
      </c>
      <c r="D118" s="103">
        <v>1</v>
      </c>
      <c r="E118" s="9"/>
      <c r="F118" s="101">
        <v>0.73415413283641695</v>
      </c>
      <c r="G118" s="101">
        <v>0.110834553440703</v>
      </c>
      <c r="H118" s="101">
        <v>0.15501131372287999</v>
      </c>
    </row>
    <row r="119" spans="1:8">
      <c r="A119" s="9" t="s">
        <v>5</v>
      </c>
      <c r="B119" s="9"/>
      <c r="C119" s="700"/>
      <c r="D119" s="700"/>
      <c r="E119" s="700"/>
      <c r="F119" s="700"/>
      <c r="G119" s="700"/>
      <c r="H119" s="700"/>
    </row>
    <row r="120" spans="1:8">
      <c r="A120" s="9" t="s">
        <v>50</v>
      </c>
      <c r="B120" s="9"/>
      <c r="C120" s="698" t="s">
        <v>34</v>
      </c>
      <c r="D120" s="698"/>
      <c r="E120" s="698"/>
      <c r="F120" s="698"/>
      <c r="G120" s="698"/>
      <c r="H120" s="698"/>
    </row>
    <row r="121" spans="1:8" ht="17.25">
      <c r="A121" s="9" t="s">
        <v>407</v>
      </c>
      <c r="B121" s="9"/>
      <c r="C121" s="296">
        <v>6238</v>
      </c>
      <c r="D121" s="297">
        <v>1</v>
      </c>
      <c r="E121" s="9"/>
      <c r="F121" s="105">
        <v>2.1000320615581918E-2</v>
      </c>
      <c r="G121" s="105">
        <v>0.68836165437640273</v>
      </c>
      <c r="H121" s="105">
        <v>0.29063802500801539</v>
      </c>
    </row>
    <row r="122" spans="1:8">
      <c r="A122" s="9" t="s">
        <v>7</v>
      </c>
      <c r="B122" s="9"/>
      <c r="C122" s="698" t="s">
        <v>34</v>
      </c>
      <c r="D122" s="698"/>
      <c r="E122" s="698"/>
      <c r="F122" s="698"/>
      <c r="G122" s="698"/>
      <c r="H122" s="698"/>
    </row>
    <row r="123" spans="1:8">
      <c r="A123" s="9" t="s">
        <v>184</v>
      </c>
      <c r="B123" s="9"/>
      <c r="C123" s="698" t="s">
        <v>34</v>
      </c>
      <c r="D123" s="698"/>
      <c r="E123" s="698"/>
      <c r="F123" s="698"/>
      <c r="G123" s="698"/>
      <c r="H123" s="698"/>
    </row>
    <row r="124" spans="1:8">
      <c r="A124" s="9" t="s">
        <v>8</v>
      </c>
      <c r="B124" s="9"/>
      <c r="C124" s="100">
        <v>20840</v>
      </c>
      <c r="D124" s="101">
        <f>SUM(F124:H124)</f>
        <v>1</v>
      </c>
      <c r="E124" s="9"/>
      <c r="F124" s="101">
        <v>9.889635316698657E-2</v>
      </c>
      <c r="G124" s="101">
        <v>0.58104606525911706</v>
      </c>
      <c r="H124" s="101">
        <v>0.32005758157389635</v>
      </c>
    </row>
    <row r="125" spans="1:8">
      <c r="A125" s="9" t="s">
        <v>82</v>
      </c>
      <c r="B125" s="9"/>
      <c r="C125" s="698" t="s">
        <v>34</v>
      </c>
      <c r="D125" s="698"/>
      <c r="E125" s="698"/>
      <c r="F125" s="698"/>
      <c r="G125" s="698"/>
      <c r="H125" s="698"/>
    </row>
    <row r="126" spans="1:8">
      <c r="A126" s="9" t="s">
        <v>9</v>
      </c>
      <c r="B126" s="9"/>
      <c r="C126" s="104">
        <v>5825</v>
      </c>
      <c r="D126" s="171">
        <v>1</v>
      </c>
      <c r="E126" s="9"/>
      <c r="F126" s="171">
        <v>0.42969957081545063</v>
      </c>
      <c r="G126" s="171">
        <v>0.2990557939914163</v>
      </c>
      <c r="H126" s="171">
        <v>0.27124463519313302</v>
      </c>
    </row>
    <row r="127" spans="1:8">
      <c r="B127" s="9"/>
      <c r="C127" s="287"/>
      <c r="D127" s="288"/>
      <c r="E127" s="9"/>
      <c r="F127" s="288"/>
      <c r="G127" s="289"/>
      <c r="H127" s="290"/>
    </row>
    <row r="128" spans="1:8">
      <c r="A128" s="22" t="s">
        <v>10</v>
      </c>
      <c r="B128" s="23"/>
      <c r="C128" s="291"/>
      <c r="D128" s="292"/>
      <c r="E128" s="23"/>
      <c r="F128" s="292"/>
      <c r="G128" s="292"/>
      <c r="H128" s="292"/>
    </row>
    <row r="130" spans="1:8">
      <c r="A130" s="29" t="s">
        <v>339</v>
      </c>
    </row>
    <row r="131" spans="1:8">
      <c r="A131" s="29" t="s">
        <v>340</v>
      </c>
    </row>
    <row r="132" spans="1:8">
      <c r="A132" s="29" t="s">
        <v>341</v>
      </c>
    </row>
    <row r="133" spans="1:8">
      <c r="A133" s="29" t="s">
        <v>342</v>
      </c>
    </row>
    <row r="136" spans="1:8">
      <c r="A136" s="12" t="s">
        <v>373</v>
      </c>
      <c r="B136" s="74"/>
      <c r="F136" s="75"/>
    </row>
    <row r="137" spans="1:8">
      <c r="A137" s="18"/>
      <c r="B137" s="18"/>
      <c r="C137" s="18"/>
      <c r="D137" s="18"/>
      <c r="E137" s="18"/>
      <c r="F137" s="18"/>
      <c r="G137" s="18"/>
      <c r="H137" s="76"/>
    </row>
    <row r="138" spans="1:8" ht="15.75" thickBot="1">
      <c r="A138" s="91"/>
      <c r="B138" s="92"/>
      <c r="C138" s="699" t="s">
        <v>10</v>
      </c>
      <c r="D138" s="699"/>
      <c r="E138" s="92"/>
      <c r="F138" s="93" t="s">
        <v>40</v>
      </c>
      <c r="G138" s="93"/>
      <c r="H138" s="93"/>
    </row>
    <row r="139" spans="1:8" ht="15.75" thickTop="1">
      <c r="A139" s="94" t="s">
        <v>0</v>
      </c>
      <c r="B139" s="18"/>
      <c r="C139" s="280" t="s">
        <v>41</v>
      </c>
      <c r="D139" s="280" t="s">
        <v>42</v>
      </c>
      <c r="E139" s="281"/>
      <c r="F139" s="282" t="s">
        <v>18</v>
      </c>
      <c r="G139" s="282" t="s">
        <v>19</v>
      </c>
      <c r="H139" s="282" t="s">
        <v>20</v>
      </c>
    </row>
    <row r="140" spans="1:8">
      <c r="A140" s="18"/>
      <c r="B140" s="18"/>
      <c r="C140" s="18"/>
      <c r="D140" s="18"/>
      <c r="E140" s="18"/>
      <c r="F140" s="18"/>
      <c r="G140" s="18"/>
      <c r="H140" s="18"/>
    </row>
    <row r="141" spans="1:8" hidden="1">
      <c r="A141" s="9" t="s">
        <v>2</v>
      </c>
      <c r="B141" s="9"/>
      <c r="C141" s="700"/>
      <c r="D141" s="700"/>
      <c r="E141" s="700"/>
      <c r="F141" s="700"/>
      <c r="G141" s="700"/>
      <c r="H141" s="700"/>
    </row>
    <row r="142" spans="1:8" hidden="1">
      <c r="A142" s="9" t="s">
        <v>3</v>
      </c>
      <c r="B142" s="9"/>
      <c r="C142" s="100"/>
      <c r="D142" s="101"/>
      <c r="E142" s="9"/>
      <c r="F142" s="101"/>
      <c r="G142" s="101"/>
      <c r="H142" s="101"/>
    </row>
    <row r="143" spans="1:8">
      <c r="A143" s="9" t="s">
        <v>4</v>
      </c>
      <c r="B143" s="9"/>
      <c r="C143" s="100">
        <v>83436</v>
      </c>
      <c r="D143" s="103">
        <v>1</v>
      </c>
      <c r="E143" s="9"/>
      <c r="F143" s="101">
        <v>0.76534109976508946</v>
      </c>
      <c r="G143" s="101">
        <v>9.329306294644997E-2</v>
      </c>
      <c r="H143" s="101">
        <v>0.14136583728846064</v>
      </c>
    </row>
    <row r="144" spans="1:8">
      <c r="A144" s="9" t="s">
        <v>5</v>
      </c>
      <c r="B144" s="9"/>
      <c r="C144" s="700" t="s">
        <v>34</v>
      </c>
      <c r="D144" s="700"/>
      <c r="E144" s="700"/>
      <c r="F144" s="700"/>
      <c r="G144" s="700"/>
      <c r="H144" s="700"/>
    </row>
    <row r="145" spans="1:8">
      <c r="A145" s="9" t="s">
        <v>50</v>
      </c>
      <c r="B145" s="9"/>
      <c r="C145" s="698" t="s">
        <v>34</v>
      </c>
      <c r="D145" s="698"/>
      <c r="E145" s="698"/>
      <c r="F145" s="698"/>
      <c r="G145" s="698"/>
      <c r="H145" s="698"/>
    </row>
    <row r="146" spans="1:8" ht="17.25">
      <c r="A146" s="9" t="s">
        <v>407</v>
      </c>
      <c r="B146" s="9"/>
      <c r="C146" s="100">
        <v>8037</v>
      </c>
      <c r="D146" s="103">
        <v>1</v>
      </c>
      <c r="E146" s="9"/>
      <c r="F146" s="101">
        <v>1.1447057359711335E-2</v>
      </c>
      <c r="G146" s="101">
        <v>0.73124300111982088</v>
      </c>
      <c r="H146" s="101">
        <v>0.25730994152046782</v>
      </c>
    </row>
    <row r="147" spans="1:8">
      <c r="A147" s="9" t="s">
        <v>7</v>
      </c>
      <c r="B147" s="9"/>
      <c r="C147" s="698" t="s">
        <v>34</v>
      </c>
      <c r="D147" s="698"/>
      <c r="E147" s="698"/>
      <c r="F147" s="698"/>
      <c r="G147" s="698"/>
      <c r="H147" s="698"/>
    </row>
    <row r="148" spans="1:8">
      <c r="A148" s="9" t="s">
        <v>184</v>
      </c>
      <c r="B148" s="9"/>
      <c r="C148" s="700" t="s">
        <v>34</v>
      </c>
      <c r="D148" s="700"/>
      <c r="E148" s="700"/>
      <c r="F148" s="700"/>
      <c r="G148" s="700"/>
      <c r="H148" s="700"/>
    </row>
    <row r="149" spans="1:8">
      <c r="A149" s="9" t="s">
        <v>8</v>
      </c>
      <c r="B149" s="9"/>
      <c r="C149" s="100">
        <v>15001</v>
      </c>
      <c r="D149" s="298">
        <v>1</v>
      </c>
      <c r="E149" s="299"/>
      <c r="F149" s="298">
        <v>0.15905606292913807</v>
      </c>
      <c r="G149" s="298">
        <v>0.31877874808346113</v>
      </c>
      <c r="H149" s="298">
        <v>0.52216518898740083</v>
      </c>
    </row>
    <row r="150" spans="1:8">
      <c r="A150" s="9" t="s">
        <v>82</v>
      </c>
      <c r="B150" s="9"/>
      <c r="C150" s="100">
        <v>1521</v>
      </c>
      <c r="D150" s="300">
        <f>+C150/C150</f>
        <v>1</v>
      </c>
      <c r="E150" s="34"/>
      <c r="F150" s="301">
        <v>0.38132807363576593</v>
      </c>
      <c r="G150" s="301">
        <v>2.6298487836949377E-3</v>
      </c>
      <c r="H150" s="301">
        <v>0.61604207758053908</v>
      </c>
    </row>
    <row r="151" spans="1:8">
      <c r="A151" s="9" t="s">
        <v>9</v>
      </c>
      <c r="B151" s="9"/>
      <c r="C151" s="102">
        <v>6713</v>
      </c>
      <c r="D151" s="171">
        <v>1</v>
      </c>
      <c r="E151" s="9"/>
      <c r="F151" s="171">
        <v>0.4032474303590049</v>
      </c>
      <c r="G151" s="171">
        <v>0.38507373752420676</v>
      </c>
      <c r="H151" s="171">
        <v>0.21167883211678831</v>
      </c>
    </row>
    <row r="152" spans="1:8">
      <c r="B152" s="9"/>
      <c r="C152" s="287"/>
      <c r="D152" s="288"/>
      <c r="E152" s="9"/>
      <c r="F152" s="288"/>
      <c r="G152" s="289"/>
      <c r="H152" s="290"/>
    </row>
    <row r="153" spans="1:8">
      <c r="A153" s="22" t="s">
        <v>10</v>
      </c>
      <c r="B153" s="23"/>
      <c r="C153" s="291"/>
      <c r="D153" s="292"/>
      <c r="E153" s="23"/>
      <c r="F153" s="292"/>
      <c r="G153" s="292"/>
      <c r="H153" s="292"/>
    </row>
    <row r="155" spans="1:8">
      <c r="A155" s="29" t="s">
        <v>339</v>
      </c>
    </row>
    <row r="156" spans="1:8">
      <c r="A156" s="29" t="s">
        <v>340</v>
      </c>
    </row>
    <row r="157" spans="1:8">
      <c r="A157" s="29" t="s">
        <v>341</v>
      </c>
    </row>
    <row r="158" spans="1:8">
      <c r="A158" s="29" t="s">
        <v>342</v>
      </c>
    </row>
    <row r="159" spans="1:8">
      <c r="A159" s="29"/>
    </row>
    <row r="160" spans="1:8">
      <c r="A160" s="29"/>
    </row>
    <row r="161" spans="1:8">
      <c r="A161" s="12" t="s">
        <v>387</v>
      </c>
      <c r="B161" s="74"/>
      <c r="F161" s="75"/>
    </row>
    <row r="162" spans="1:8">
      <c r="A162" s="18"/>
      <c r="B162" s="18"/>
      <c r="C162" s="18"/>
      <c r="D162" s="18"/>
      <c r="E162" s="18"/>
      <c r="F162" s="18"/>
      <c r="G162" s="18"/>
      <c r="H162" s="76"/>
    </row>
    <row r="163" spans="1:8" ht="15.75" thickBot="1">
      <c r="A163" s="91"/>
      <c r="B163" s="92"/>
      <c r="C163" s="699" t="s">
        <v>10</v>
      </c>
      <c r="D163" s="699"/>
      <c r="E163" s="92"/>
      <c r="F163" s="93" t="s">
        <v>40</v>
      </c>
      <c r="G163" s="93"/>
      <c r="H163" s="93"/>
    </row>
    <row r="164" spans="1:8" ht="15.75" thickTop="1">
      <c r="A164" s="94" t="s">
        <v>0</v>
      </c>
      <c r="B164" s="18"/>
      <c r="C164" s="280" t="s">
        <v>41</v>
      </c>
      <c r="D164" s="280" t="s">
        <v>42</v>
      </c>
      <c r="E164" s="281"/>
      <c r="F164" s="282" t="s">
        <v>18</v>
      </c>
      <c r="G164" s="282" t="s">
        <v>19</v>
      </c>
      <c r="H164" s="282" t="s">
        <v>20</v>
      </c>
    </row>
    <row r="165" spans="1:8">
      <c r="A165" s="18"/>
      <c r="B165" s="18"/>
      <c r="C165" s="18"/>
      <c r="D165" s="18"/>
      <c r="E165" s="18"/>
      <c r="F165" s="18"/>
      <c r="G165" s="18"/>
      <c r="H165" s="18"/>
    </row>
    <row r="166" spans="1:8">
      <c r="A166" s="9" t="s">
        <v>2</v>
      </c>
      <c r="B166" s="9"/>
      <c r="C166" s="700"/>
      <c r="D166" s="700"/>
      <c r="E166" s="700"/>
      <c r="F166" s="700"/>
      <c r="G166" s="700"/>
      <c r="H166" s="700"/>
    </row>
    <row r="167" spans="1:8">
      <c r="A167" s="9" t="s">
        <v>3</v>
      </c>
      <c r="B167" s="9"/>
      <c r="C167" s="100"/>
      <c r="D167" s="101"/>
      <c r="E167" s="9"/>
      <c r="F167" s="101"/>
      <c r="G167" s="101"/>
      <c r="H167" s="101"/>
    </row>
    <row r="168" spans="1:8">
      <c r="A168" s="9" t="s">
        <v>4</v>
      </c>
      <c r="B168" s="9"/>
      <c r="C168" s="100">
        <v>70645</v>
      </c>
      <c r="D168" s="103">
        <v>1</v>
      </c>
      <c r="E168" s="9"/>
      <c r="F168" s="101">
        <v>0.77699766437822904</v>
      </c>
      <c r="G168" s="101">
        <v>6.7704720787033795E-2</v>
      </c>
      <c r="H168" s="101">
        <v>0.155297614834737</v>
      </c>
    </row>
    <row r="169" spans="1:8">
      <c r="A169" s="9" t="s">
        <v>5</v>
      </c>
      <c r="B169" s="9"/>
      <c r="C169" s="700" t="s">
        <v>391</v>
      </c>
      <c r="D169" s="700"/>
      <c r="E169" s="700"/>
      <c r="F169" s="700"/>
      <c r="G169" s="700"/>
      <c r="H169" s="700"/>
    </row>
    <row r="170" spans="1:8">
      <c r="A170" s="9" t="s">
        <v>50</v>
      </c>
      <c r="B170" s="9"/>
      <c r="C170" s="700" t="s">
        <v>391</v>
      </c>
      <c r="D170" s="700"/>
      <c r="E170" s="700"/>
      <c r="F170" s="700"/>
      <c r="G170" s="700"/>
      <c r="H170" s="700"/>
    </row>
    <row r="171" spans="1:8" ht="17.25">
      <c r="A171" s="9" t="s">
        <v>407</v>
      </c>
      <c r="B171" s="9"/>
      <c r="C171" s="100">
        <v>6516</v>
      </c>
      <c r="D171" s="103">
        <v>1</v>
      </c>
      <c r="E171" s="9"/>
      <c r="F171" s="101">
        <v>8.4407612031921417E-3</v>
      </c>
      <c r="G171" s="101">
        <v>0.74109883364027007</v>
      </c>
      <c r="H171" s="101">
        <v>0.25046040515653778</v>
      </c>
    </row>
    <row r="172" spans="1:8">
      <c r="A172" s="9" t="s">
        <v>7</v>
      </c>
      <c r="B172" s="9"/>
      <c r="C172" s="700" t="s">
        <v>391</v>
      </c>
      <c r="D172" s="700"/>
      <c r="E172" s="700"/>
      <c r="F172" s="700"/>
      <c r="G172" s="700"/>
      <c r="H172" s="700"/>
    </row>
    <row r="173" spans="1:8">
      <c r="A173" s="9" t="s">
        <v>184</v>
      </c>
      <c r="B173" s="9"/>
      <c r="C173" s="700" t="s">
        <v>391</v>
      </c>
      <c r="D173" s="700"/>
      <c r="E173" s="700"/>
      <c r="F173" s="700"/>
      <c r="G173" s="700"/>
      <c r="H173" s="700"/>
    </row>
    <row r="174" spans="1:8">
      <c r="A174" s="9" t="s">
        <v>8</v>
      </c>
      <c r="B174" s="9"/>
      <c r="C174" s="102">
        <v>11578</v>
      </c>
      <c r="D174" s="103">
        <v>1</v>
      </c>
      <c r="E174" s="9"/>
      <c r="F174" s="171">
        <v>0.15382622214544828</v>
      </c>
      <c r="G174" s="171">
        <v>0.1720504404905856</v>
      </c>
      <c r="H174" s="171">
        <v>0.67412333736396612</v>
      </c>
    </row>
    <row r="175" spans="1:8">
      <c r="A175" s="9" t="s">
        <v>82</v>
      </c>
      <c r="B175" s="9"/>
      <c r="C175" s="102">
        <v>2687</v>
      </c>
      <c r="D175" s="103">
        <f>+C175/C175</f>
        <v>1</v>
      </c>
      <c r="E175" s="9"/>
      <c r="F175" s="171">
        <v>0.2452549311499814</v>
      </c>
      <c r="G175" s="171">
        <v>2.2329735764793448E-3</v>
      </c>
      <c r="H175" s="171">
        <v>0.75251209527353924</v>
      </c>
    </row>
    <row r="176" spans="1:8">
      <c r="A176" s="9" t="s">
        <v>9</v>
      </c>
      <c r="B176" s="9"/>
      <c r="C176" s="102">
        <v>12994</v>
      </c>
      <c r="D176" s="103">
        <v>1</v>
      </c>
      <c r="E176" s="9"/>
      <c r="F176" s="171">
        <v>0.29699999999999999</v>
      </c>
      <c r="G176" s="171">
        <v>0.53300000000000003</v>
      </c>
      <c r="H176" s="171">
        <v>0.17</v>
      </c>
    </row>
    <row r="177" spans="1:8">
      <c r="B177" s="9"/>
      <c r="C177" s="287"/>
      <c r="D177" s="288"/>
      <c r="E177" s="9"/>
      <c r="F177" s="288"/>
      <c r="G177" s="289"/>
      <c r="H177" s="290"/>
    </row>
    <row r="178" spans="1:8">
      <c r="A178" s="22" t="s">
        <v>10</v>
      </c>
      <c r="B178" s="23"/>
      <c r="C178" s="291"/>
      <c r="D178" s="292"/>
      <c r="E178" s="23"/>
      <c r="F178" s="292"/>
      <c r="G178" s="292"/>
      <c r="H178" s="292"/>
    </row>
    <row r="180" spans="1:8">
      <c r="A180" s="29" t="s">
        <v>339</v>
      </c>
    </row>
    <row r="181" spans="1:8">
      <c r="A181" s="29" t="s">
        <v>340</v>
      </c>
    </row>
    <row r="182" spans="1:8">
      <c r="A182" s="29" t="s">
        <v>341</v>
      </c>
    </row>
    <row r="183" spans="1:8">
      <c r="A183" s="29" t="s">
        <v>342</v>
      </c>
    </row>
    <row r="184" spans="1:8">
      <c r="A184" s="88" t="s">
        <v>395</v>
      </c>
    </row>
    <row r="187" spans="1:8">
      <c r="A187" s="12" t="s">
        <v>427</v>
      </c>
      <c r="B187" s="74"/>
      <c r="F187" s="75"/>
    </row>
    <row r="188" spans="1:8">
      <c r="A188" s="18"/>
      <c r="B188" s="18"/>
      <c r="C188" s="18"/>
      <c r="D188" s="18"/>
      <c r="E188" s="18"/>
      <c r="F188" s="18"/>
      <c r="G188" s="18"/>
      <c r="H188" s="76"/>
    </row>
    <row r="189" spans="1:8" ht="15.75" thickBot="1">
      <c r="A189" s="91"/>
      <c r="B189" s="92"/>
      <c r="C189" s="699" t="s">
        <v>10</v>
      </c>
      <c r="D189" s="699"/>
      <c r="E189" s="92"/>
      <c r="F189" s="93" t="s">
        <v>40</v>
      </c>
      <c r="G189" s="93"/>
      <c r="H189" s="93"/>
    </row>
    <row r="190" spans="1:8" ht="15.75" thickTop="1">
      <c r="A190" s="94" t="s">
        <v>0</v>
      </c>
      <c r="B190" s="18"/>
      <c r="C190" s="280" t="s">
        <v>41</v>
      </c>
      <c r="D190" s="280" t="s">
        <v>42</v>
      </c>
      <c r="E190" s="281"/>
      <c r="F190" s="282" t="s">
        <v>18</v>
      </c>
      <c r="G190" s="282" t="s">
        <v>19</v>
      </c>
      <c r="H190" s="282" t="s">
        <v>20</v>
      </c>
    </row>
    <row r="191" spans="1:8">
      <c r="A191" s="18"/>
      <c r="B191" s="18"/>
      <c r="C191" s="18"/>
      <c r="D191" s="18"/>
      <c r="E191" s="18"/>
      <c r="F191" s="18"/>
      <c r="G191" s="18"/>
      <c r="H191" s="18"/>
    </row>
    <row r="192" spans="1:8">
      <c r="A192" s="9" t="s">
        <v>2</v>
      </c>
      <c r="B192" s="9"/>
      <c r="C192" s="700"/>
      <c r="D192" s="700"/>
      <c r="E192" s="700"/>
      <c r="F192" s="700"/>
      <c r="G192" s="700"/>
      <c r="H192" s="700"/>
    </row>
    <row r="193" spans="1:8">
      <c r="A193" s="9" t="s">
        <v>3</v>
      </c>
      <c r="B193" s="9"/>
      <c r="C193" s="352"/>
      <c r="D193" s="101"/>
      <c r="E193" s="99"/>
      <c r="F193" s="101"/>
      <c r="G193" s="101"/>
      <c r="H193" s="101"/>
    </row>
    <row r="194" spans="1:8">
      <c r="A194" s="9" t="s">
        <v>4</v>
      </c>
      <c r="B194" s="9"/>
      <c r="C194" s="73">
        <v>78541</v>
      </c>
      <c r="D194" s="103">
        <v>1</v>
      </c>
      <c r="E194" s="99"/>
      <c r="F194" s="101">
        <v>3.28108885804866E-2</v>
      </c>
      <c r="G194" s="101">
        <v>0.84447613348442196</v>
      </c>
      <c r="H194" s="101">
        <v>0.12271297793509101</v>
      </c>
    </row>
    <row r="195" spans="1:8">
      <c r="A195" s="9" t="s">
        <v>5</v>
      </c>
      <c r="B195" s="9"/>
      <c r="C195" s="700"/>
      <c r="D195" s="700"/>
      <c r="E195" s="700"/>
      <c r="F195" s="700"/>
      <c r="G195" s="700"/>
      <c r="H195" s="700"/>
    </row>
    <row r="196" spans="1:8">
      <c r="A196" s="9" t="s">
        <v>50</v>
      </c>
      <c r="B196" s="9"/>
      <c r="C196" s="700" t="s">
        <v>391</v>
      </c>
      <c r="D196" s="700"/>
      <c r="E196" s="700"/>
      <c r="F196" s="700"/>
      <c r="G196" s="700"/>
      <c r="H196" s="700"/>
    </row>
    <row r="197" spans="1:8" ht="17.25">
      <c r="A197" s="9" t="s">
        <v>407</v>
      </c>
      <c r="B197" s="9"/>
      <c r="C197" s="73">
        <v>7362</v>
      </c>
      <c r="D197" s="103">
        <v>1</v>
      </c>
      <c r="E197" s="99"/>
      <c r="F197" s="101">
        <v>3.3550665580005398E-2</v>
      </c>
      <c r="G197" s="101">
        <v>0.66259168704156501</v>
      </c>
      <c r="H197" s="101">
        <v>0.30385764737843002</v>
      </c>
    </row>
    <row r="198" spans="1:8">
      <c r="A198" s="9" t="s">
        <v>7</v>
      </c>
      <c r="B198" s="9"/>
      <c r="C198" s="702" t="s">
        <v>432</v>
      </c>
      <c r="D198" s="702"/>
      <c r="E198" s="702"/>
      <c r="F198" s="702"/>
      <c r="G198" s="702"/>
      <c r="H198" s="702"/>
    </row>
    <row r="199" spans="1:8">
      <c r="A199" s="9" t="s">
        <v>184</v>
      </c>
      <c r="B199" s="9"/>
      <c r="C199" s="702" t="s">
        <v>432</v>
      </c>
      <c r="D199" s="702"/>
      <c r="E199" s="702"/>
      <c r="F199" s="702"/>
      <c r="G199" s="702"/>
      <c r="H199" s="702"/>
    </row>
    <row r="200" spans="1:8">
      <c r="A200" s="9" t="s">
        <v>8</v>
      </c>
      <c r="B200" s="9"/>
      <c r="C200" s="73">
        <v>11477</v>
      </c>
      <c r="D200" s="103">
        <v>1</v>
      </c>
      <c r="E200" s="99"/>
      <c r="F200" s="101">
        <v>0.18419447590833801</v>
      </c>
      <c r="G200" s="101">
        <v>9.43626383201185E-2</v>
      </c>
      <c r="H200" s="101">
        <v>0.72144288577154303</v>
      </c>
    </row>
    <row r="201" spans="1:8">
      <c r="A201" s="9" t="s">
        <v>82</v>
      </c>
      <c r="B201" s="9"/>
      <c r="C201" s="73">
        <v>3434</v>
      </c>
      <c r="D201" s="103">
        <f>+C201/C201</f>
        <v>1</v>
      </c>
      <c r="E201" s="99"/>
      <c r="F201" s="101">
        <v>0.36648221343873516</v>
      </c>
      <c r="G201" s="101">
        <v>1.3913043478260871E-3</v>
      </c>
      <c r="H201" s="101">
        <v>0.6321264822134387</v>
      </c>
    </row>
    <row r="202" spans="1:8">
      <c r="A202" s="9" t="s">
        <v>9</v>
      </c>
      <c r="B202" s="9"/>
      <c r="C202" s="73">
        <v>7202</v>
      </c>
      <c r="D202" s="103">
        <v>1</v>
      </c>
      <c r="E202" s="99"/>
      <c r="F202" s="101">
        <v>0.20438767009164099</v>
      </c>
      <c r="G202" s="101">
        <v>0.58941960566509299</v>
      </c>
      <c r="H202" s="101">
        <v>0.20619272424326601</v>
      </c>
    </row>
    <row r="203" spans="1:8">
      <c r="B203" s="9"/>
      <c r="C203" s="353"/>
      <c r="D203" s="354"/>
      <c r="E203" s="99"/>
      <c r="F203" s="354"/>
      <c r="G203" s="289"/>
      <c r="H203" s="289"/>
    </row>
    <row r="204" spans="1:8">
      <c r="A204" s="22" t="s">
        <v>10</v>
      </c>
      <c r="B204" s="23"/>
      <c r="C204" s="291"/>
      <c r="D204" s="292"/>
      <c r="E204" s="23"/>
      <c r="F204" s="292"/>
      <c r="G204" s="292"/>
      <c r="H204" s="292"/>
    </row>
    <row r="206" spans="1:8">
      <c r="A206" s="29" t="s">
        <v>339</v>
      </c>
    </row>
    <row r="207" spans="1:8">
      <c r="A207" s="29" t="s">
        <v>340</v>
      </c>
    </row>
    <row r="208" spans="1:8">
      <c r="A208" s="29" t="s">
        <v>341</v>
      </c>
    </row>
    <row r="209" spans="1:8">
      <c r="A209" s="29" t="s">
        <v>342</v>
      </c>
    </row>
    <row r="210" spans="1:8">
      <c r="A210" s="88" t="s">
        <v>395</v>
      </c>
    </row>
    <row r="213" spans="1:8">
      <c r="A213" s="12" t="s">
        <v>441</v>
      </c>
      <c r="B213" s="74"/>
      <c r="F213" s="75"/>
    </row>
    <row r="214" spans="1:8">
      <c r="A214" s="18"/>
      <c r="B214" s="18"/>
      <c r="C214" s="18"/>
      <c r="D214" s="18"/>
      <c r="E214" s="18"/>
      <c r="F214" s="18"/>
      <c r="G214" s="18"/>
      <c r="H214" s="76"/>
    </row>
    <row r="215" spans="1:8" ht="15.75" thickBot="1">
      <c r="A215" s="91"/>
      <c r="B215" s="92"/>
      <c r="C215" s="699" t="s">
        <v>10</v>
      </c>
      <c r="D215" s="699"/>
      <c r="E215" s="92"/>
      <c r="F215" s="93" t="s">
        <v>40</v>
      </c>
      <c r="G215" s="93"/>
      <c r="H215" s="93"/>
    </row>
    <row r="216" spans="1:8" ht="15.75" thickTop="1">
      <c r="A216" s="94" t="s">
        <v>0</v>
      </c>
      <c r="B216" s="18"/>
      <c r="C216" s="280" t="s">
        <v>41</v>
      </c>
      <c r="D216" s="280" t="s">
        <v>42</v>
      </c>
      <c r="E216" s="281"/>
      <c r="F216" s="282" t="s">
        <v>18</v>
      </c>
      <c r="G216" s="282" t="s">
        <v>19</v>
      </c>
      <c r="H216" s="282" t="s">
        <v>20</v>
      </c>
    </row>
    <row r="217" spans="1:8">
      <c r="A217" s="18"/>
      <c r="B217" s="18"/>
      <c r="C217" s="18"/>
      <c r="D217" s="18"/>
      <c r="E217" s="18"/>
      <c r="F217" s="18"/>
      <c r="G217" s="18"/>
      <c r="H217" s="18"/>
    </row>
    <row r="218" spans="1:8">
      <c r="A218" s="9" t="s">
        <v>2</v>
      </c>
      <c r="B218" s="9"/>
      <c r="C218" s="700"/>
      <c r="D218" s="700"/>
      <c r="E218" s="700"/>
      <c r="F218" s="700"/>
      <c r="G218" s="700"/>
      <c r="H218" s="700"/>
    </row>
    <row r="219" spans="1:8">
      <c r="A219" s="9" t="s">
        <v>3</v>
      </c>
      <c r="B219" s="9"/>
      <c r="C219" s="352"/>
      <c r="D219" s="101"/>
      <c r="E219" s="99"/>
      <c r="F219" s="101"/>
      <c r="G219" s="101"/>
      <c r="H219" s="101"/>
    </row>
    <row r="220" spans="1:8">
      <c r="A220" s="9" t="s">
        <v>4</v>
      </c>
      <c r="B220" s="9"/>
      <c r="C220" s="73">
        <v>96116</v>
      </c>
      <c r="D220" s="103">
        <v>1</v>
      </c>
      <c r="E220" s="99"/>
      <c r="F220" s="101">
        <v>0.109</v>
      </c>
      <c r="G220" s="101">
        <v>0.75800000000000001</v>
      </c>
      <c r="H220" s="101">
        <v>0.13300000000000001</v>
      </c>
    </row>
    <row r="221" spans="1:8">
      <c r="A221" s="9" t="s">
        <v>5</v>
      </c>
      <c r="B221" s="9"/>
      <c r="C221" s="700"/>
      <c r="D221" s="700"/>
      <c r="E221" s="700"/>
      <c r="F221" s="700"/>
      <c r="G221" s="700"/>
      <c r="H221" s="700"/>
    </row>
    <row r="222" spans="1:8">
      <c r="A222" s="9" t="s">
        <v>50</v>
      </c>
      <c r="B222" s="9"/>
      <c r="C222" s="700" t="s">
        <v>391</v>
      </c>
      <c r="D222" s="700"/>
      <c r="E222" s="700"/>
      <c r="F222" s="700"/>
      <c r="G222" s="700"/>
      <c r="H222" s="700"/>
    </row>
    <row r="223" spans="1:8" ht="17.25">
      <c r="A223" s="9" t="s">
        <v>407</v>
      </c>
      <c r="B223" s="9"/>
      <c r="C223" s="373">
        <v>6124</v>
      </c>
      <c r="D223" s="374">
        <v>1</v>
      </c>
      <c r="E223" s="1"/>
      <c r="F223" s="375">
        <v>9.7975179621162603E-3</v>
      </c>
      <c r="G223" s="375">
        <v>0.57429784454604804</v>
      </c>
      <c r="H223" s="375">
        <v>0.41590463749183498</v>
      </c>
    </row>
    <row r="224" spans="1:8">
      <c r="A224" s="9" t="s">
        <v>7</v>
      </c>
      <c r="B224" s="9"/>
      <c r="C224" s="702" t="s">
        <v>432</v>
      </c>
      <c r="D224" s="702"/>
      <c r="E224" s="702"/>
      <c r="F224" s="702"/>
      <c r="G224" s="702"/>
      <c r="H224" s="702"/>
    </row>
    <row r="225" spans="1:8">
      <c r="A225" s="9" t="s">
        <v>184</v>
      </c>
      <c r="B225" s="9"/>
      <c r="C225" s="702" t="s">
        <v>432</v>
      </c>
      <c r="D225" s="702"/>
      <c r="E225" s="702"/>
      <c r="F225" s="702"/>
      <c r="G225" s="702"/>
      <c r="H225" s="702"/>
    </row>
    <row r="226" spans="1:8">
      <c r="A226" s="9" t="s">
        <v>8</v>
      </c>
      <c r="B226" s="9"/>
      <c r="C226" s="73">
        <v>11642</v>
      </c>
      <c r="D226" s="103">
        <v>1</v>
      </c>
      <c r="E226" s="99"/>
      <c r="F226" s="101">
        <v>0.19068888507129358</v>
      </c>
      <c r="G226" s="101">
        <v>8.3319017350970623E-2</v>
      </c>
      <c r="H226" s="101">
        <v>0.72599209757773575</v>
      </c>
    </row>
    <row r="227" spans="1:8">
      <c r="A227" s="9" t="s">
        <v>82</v>
      </c>
      <c r="B227" s="9"/>
      <c r="C227" s="73">
        <v>1922</v>
      </c>
      <c r="D227" s="103">
        <v>1</v>
      </c>
      <c r="E227" s="99"/>
      <c r="F227" s="101">
        <v>0.16701352757544224</v>
      </c>
      <c r="G227" s="101">
        <v>0</v>
      </c>
      <c r="H227" s="101">
        <v>0.8329864724245577</v>
      </c>
    </row>
    <row r="228" spans="1:8">
      <c r="A228" s="9" t="s">
        <v>9</v>
      </c>
      <c r="B228" s="9"/>
      <c r="C228" s="73">
        <v>9761</v>
      </c>
      <c r="D228" s="103">
        <v>1</v>
      </c>
      <c r="E228" s="99">
        <v>22.2</v>
      </c>
      <c r="F228" s="101">
        <v>0.222</v>
      </c>
      <c r="G228" s="101">
        <v>0.63300000000000001</v>
      </c>
      <c r="H228" s="101">
        <v>0.14499999999999999</v>
      </c>
    </row>
    <row r="229" spans="1:8">
      <c r="B229" s="9"/>
      <c r="C229" s="353"/>
      <c r="D229" s="354"/>
      <c r="E229" s="99"/>
      <c r="F229" s="354"/>
      <c r="G229" s="289"/>
      <c r="H229" s="289"/>
    </row>
    <row r="230" spans="1:8">
      <c r="A230" s="22" t="s">
        <v>10</v>
      </c>
      <c r="B230" s="23"/>
      <c r="C230" s="291"/>
      <c r="D230" s="292"/>
      <c r="E230" s="23"/>
      <c r="F230" s="292"/>
      <c r="G230" s="292"/>
      <c r="H230" s="292"/>
    </row>
    <row r="232" spans="1:8">
      <c r="A232" s="29" t="s">
        <v>339</v>
      </c>
    </row>
    <row r="233" spans="1:8">
      <c r="A233" s="29" t="s">
        <v>340</v>
      </c>
    </row>
    <row r="234" spans="1:8">
      <c r="A234" s="29" t="s">
        <v>341</v>
      </c>
    </row>
    <row r="235" spans="1:8">
      <c r="A235" s="29" t="s">
        <v>342</v>
      </c>
    </row>
    <row r="236" spans="1:8">
      <c r="A236" s="88" t="s">
        <v>395</v>
      </c>
    </row>
    <row r="239" spans="1:8">
      <c r="A239" s="12" t="s">
        <v>467</v>
      </c>
      <c r="B239" s="74"/>
      <c r="F239" s="75"/>
    </row>
    <row r="240" spans="1:8">
      <c r="A240" s="18"/>
      <c r="B240" s="18"/>
      <c r="C240" s="18"/>
      <c r="D240" s="18"/>
      <c r="E240" s="18"/>
      <c r="F240" s="18"/>
      <c r="G240" s="18"/>
      <c r="H240" s="76"/>
    </row>
    <row r="241" spans="1:8" ht="15.75" thickBot="1">
      <c r="A241" s="91"/>
      <c r="B241" s="92"/>
      <c r="C241" s="699" t="s">
        <v>10</v>
      </c>
      <c r="D241" s="699"/>
      <c r="E241" s="92"/>
      <c r="F241" s="93" t="s">
        <v>40</v>
      </c>
      <c r="G241" s="93"/>
      <c r="H241" s="93"/>
    </row>
    <row r="242" spans="1:8" ht="15.75" thickTop="1">
      <c r="A242" s="94" t="s">
        <v>0</v>
      </c>
      <c r="B242" s="18"/>
      <c r="C242" s="280" t="s">
        <v>41</v>
      </c>
      <c r="D242" s="280" t="s">
        <v>42</v>
      </c>
      <c r="E242" s="281"/>
      <c r="F242" s="282" t="s">
        <v>18</v>
      </c>
      <c r="G242" s="282" t="s">
        <v>19</v>
      </c>
      <c r="H242" s="282" t="s">
        <v>20</v>
      </c>
    </row>
    <row r="243" spans="1:8">
      <c r="A243" s="9" t="s">
        <v>4</v>
      </c>
      <c r="B243" s="9"/>
      <c r="C243" s="73">
        <v>3309</v>
      </c>
      <c r="D243" s="103">
        <v>1</v>
      </c>
      <c r="E243" s="71"/>
      <c r="F243" s="101"/>
      <c r="G243" s="101"/>
      <c r="H243" s="101"/>
    </row>
    <row r="244" spans="1:8">
      <c r="A244" s="9" t="s">
        <v>5</v>
      </c>
      <c r="B244" s="9"/>
      <c r="C244" s="700"/>
      <c r="D244" s="700"/>
      <c r="E244" s="700"/>
      <c r="F244" s="700"/>
      <c r="G244" s="700"/>
      <c r="H244" s="700"/>
    </row>
    <row r="245" spans="1:8">
      <c r="A245" s="9" t="s">
        <v>50</v>
      </c>
      <c r="B245" s="9"/>
      <c r="C245" s="700" t="s">
        <v>391</v>
      </c>
      <c r="D245" s="700"/>
      <c r="E245" s="700"/>
      <c r="F245" s="700"/>
      <c r="G245" s="700"/>
      <c r="H245" s="700"/>
    </row>
    <row r="246" spans="1:8" ht="17.25">
      <c r="A246" s="9" t="s">
        <v>407</v>
      </c>
      <c r="B246" s="9"/>
      <c r="C246" s="441">
        <v>-1077</v>
      </c>
      <c r="D246" s="374">
        <v>1</v>
      </c>
      <c r="E246" s="391"/>
      <c r="F246" s="375">
        <v>-0.14763231197771601</v>
      </c>
      <c r="G246" s="375">
        <v>0.25812441968430799</v>
      </c>
      <c r="H246" s="375">
        <v>-1.1104921077065899</v>
      </c>
    </row>
    <row r="247" spans="1:8">
      <c r="A247" s="9" t="s">
        <v>7</v>
      </c>
      <c r="B247" s="9"/>
      <c r="C247" s="702" t="s">
        <v>432</v>
      </c>
      <c r="D247" s="702"/>
      <c r="E247" s="702"/>
      <c r="F247" s="702"/>
      <c r="G247" s="702"/>
      <c r="H247" s="702"/>
    </row>
    <row r="248" spans="1:8">
      <c r="A248" s="9" t="s">
        <v>184</v>
      </c>
      <c r="B248" s="9"/>
      <c r="C248" s="702" t="s">
        <v>432</v>
      </c>
      <c r="D248" s="702"/>
      <c r="E248" s="702"/>
      <c r="F248" s="702"/>
      <c r="G248" s="702"/>
      <c r="H248" s="702"/>
    </row>
    <row r="249" spans="1:8">
      <c r="A249" s="9" t="s">
        <v>8</v>
      </c>
      <c r="B249" s="9"/>
      <c r="C249" s="73">
        <v>8401</v>
      </c>
      <c r="D249" s="103">
        <v>1</v>
      </c>
      <c r="E249" s="71"/>
      <c r="F249" s="101">
        <v>4.7851446256398047E-2</v>
      </c>
      <c r="G249" s="101">
        <v>0.15902868706106416</v>
      </c>
      <c r="H249" s="101">
        <v>0.79311986668253776</v>
      </c>
    </row>
    <row r="250" spans="1:8">
      <c r="A250" s="9" t="s">
        <v>82</v>
      </c>
      <c r="B250" s="9"/>
      <c r="C250" s="73">
        <v>2041</v>
      </c>
      <c r="D250" s="103">
        <v>1</v>
      </c>
      <c r="E250" s="71"/>
      <c r="F250" s="101">
        <v>0.20039196472317491</v>
      </c>
      <c r="G250" s="101">
        <v>1.4698677119059284E-3</v>
      </c>
      <c r="H250" s="101">
        <v>0.79813816756491918</v>
      </c>
    </row>
    <row r="251" spans="1:8">
      <c r="A251" s="9" t="s">
        <v>9</v>
      </c>
      <c r="B251" s="9"/>
      <c r="C251" s="73">
        <v>9106</v>
      </c>
      <c r="D251" s="103">
        <v>1</v>
      </c>
      <c r="F251" s="442">
        <v>0.11508895233911701</v>
      </c>
      <c r="G251" s="101">
        <v>0.78278058423017804</v>
      </c>
      <c r="H251" s="101">
        <v>0.102130463430705</v>
      </c>
    </row>
    <row r="252" spans="1:8">
      <c r="B252" s="9"/>
      <c r="C252" s="353"/>
      <c r="D252" s="354"/>
      <c r="E252" s="99"/>
      <c r="F252" s="354"/>
      <c r="G252" s="289"/>
      <c r="H252" s="289"/>
    </row>
    <row r="253" spans="1:8">
      <c r="A253" s="22" t="s">
        <v>10</v>
      </c>
      <c r="B253" s="23"/>
      <c r="C253" s="291"/>
      <c r="D253" s="292"/>
      <c r="E253" s="23"/>
      <c r="F253" s="292"/>
      <c r="G253" s="292"/>
      <c r="H253" s="292"/>
    </row>
    <row r="255" spans="1:8">
      <c r="A255" s="29" t="s">
        <v>339</v>
      </c>
    </row>
    <row r="256" spans="1:8">
      <c r="A256" s="29" t="s">
        <v>340</v>
      </c>
    </row>
    <row r="257" spans="1:8">
      <c r="A257" s="29" t="s">
        <v>341</v>
      </c>
    </row>
    <row r="258" spans="1:8">
      <c r="A258" s="29" t="s">
        <v>342</v>
      </c>
    </row>
    <row r="259" spans="1:8">
      <c r="A259" s="88" t="s">
        <v>395</v>
      </c>
    </row>
    <row r="262" spans="1:8">
      <c r="A262" s="12" t="s">
        <v>478</v>
      </c>
      <c r="B262" s="74"/>
      <c r="F262" s="75"/>
    </row>
    <row r="263" spans="1:8">
      <c r="A263" s="18"/>
      <c r="B263" s="18"/>
      <c r="C263" s="18"/>
      <c r="D263" s="18"/>
      <c r="E263" s="18"/>
      <c r="F263" s="18"/>
      <c r="G263" s="18"/>
      <c r="H263" s="76"/>
    </row>
    <row r="264" spans="1:8" ht="15.75" thickBot="1">
      <c r="A264" s="91"/>
      <c r="B264" s="92"/>
      <c r="C264" s="699" t="s">
        <v>10</v>
      </c>
      <c r="D264" s="699"/>
      <c r="E264" s="92"/>
      <c r="F264" s="93" t="s">
        <v>40</v>
      </c>
      <c r="G264" s="93"/>
      <c r="H264" s="93"/>
    </row>
    <row r="265" spans="1:8" ht="15.75" thickTop="1">
      <c r="A265" s="94" t="s">
        <v>0</v>
      </c>
      <c r="B265" s="18"/>
      <c r="C265" s="280" t="s">
        <v>41</v>
      </c>
      <c r="D265" s="280" t="s">
        <v>42</v>
      </c>
      <c r="E265" s="281"/>
      <c r="F265" s="282" t="s">
        <v>18</v>
      </c>
      <c r="G265" s="282" t="s">
        <v>19</v>
      </c>
      <c r="H265" s="282" t="s">
        <v>20</v>
      </c>
    </row>
    <row r="266" spans="1:8">
      <c r="A266" s="9" t="s">
        <v>4</v>
      </c>
      <c r="B266" s="9"/>
      <c r="C266" s="73">
        <v>-44505</v>
      </c>
      <c r="D266" s="499">
        <v>1</v>
      </c>
      <c r="E266" s="71"/>
      <c r="F266" s="101">
        <v>0.220492079541625</v>
      </c>
      <c r="G266" s="101">
        <v>0.890416807100326</v>
      </c>
      <c r="H266" s="101">
        <v>-0.11090888664195001</v>
      </c>
    </row>
    <row r="267" spans="1:8">
      <c r="A267" s="9" t="s">
        <v>5</v>
      </c>
      <c r="B267" s="9"/>
      <c r="C267" s="700" t="s">
        <v>391</v>
      </c>
      <c r="D267" s="700"/>
      <c r="E267" s="700"/>
      <c r="F267" s="700"/>
      <c r="G267" s="700"/>
      <c r="H267" s="700"/>
    </row>
    <row r="268" spans="1:8">
      <c r="A268" s="9" t="s">
        <v>50</v>
      </c>
      <c r="B268" s="9"/>
      <c r="C268" s="700" t="s">
        <v>391</v>
      </c>
      <c r="D268" s="700"/>
      <c r="E268" s="700"/>
      <c r="F268" s="700"/>
      <c r="G268" s="700"/>
      <c r="H268" s="700"/>
    </row>
    <row r="269" spans="1:8" ht="17.25">
      <c r="A269" s="9" t="s">
        <v>407</v>
      </c>
      <c r="B269" s="9"/>
      <c r="C269" s="73">
        <v>9515</v>
      </c>
      <c r="D269" s="499">
        <v>1</v>
      </c>
      <c r="E269" s="391"/>
      <c r="F269" s="375">
        <v>0.443</v>
      </c>
      <c r="G269" s="375">
        <v>0.50900000000000001</v>
      </c>
      <c r="H269" s="375">
        <v>4.8</v>
      </c>
    </row>
    <row r="270" spans="1:8">
      <c r="A270" s="9" t="s">
        <v>7</v>
      </c>
      <c r="B270" s="9"/>
      <c r="C270" s="702" t="s">
        <v>432</v>
      </c>
      <c r="D270" s="702"/>
      <c r="E270" s="702"/>
      <c r="F270" s="702"/>
      <c r="G270" s="702"/>
      <c r="H270" s="702"/>
    </row>
    <row r="271" spans="1:8">
      <c r="A271" s="9" t="s">
        <v>184</v>
      </c>
      <c r="B271" s="9"/>
      <c r="C271" s="702" t="s">
        <v>432</v>
      </c>
      <c r="D271" s="702"/>
      <c r="E271" s="702"/>
      <c r="F271" s="702"/>
      <c r="G271" s="702"/>
      <c r="H271" s="702"/>
    </row>
    <row r="272" spans="1:8">
      <c r="A272" s="9" t="s">
        <v>8</v>
      </c>
      <c r="B272" s="9"/>
      <c r="C272" s="73">
        <v>19921</v>
      </c>
      <c r="D272" s="103">
        <v>1</v>
      </c>
      <c r="E272" s="71"/>
      <c r="F272" s="101">
        <v>4.1965764770844833</v>
      </c>
      <c r="G272" s="101">
        <v>2.8964409417197934</v>
      </c>
      <c r="H272" s="101">
        <v>92.90698258119572</v>
      </c>
    </row>
    <row r="273" spans="1:8">
      <c r="A273" s="9" t="s">
        <v>82</v>
      </c>
      <c r="B273" s="9"/>
      <c r="C273" s="73"/>
      <c r="D273" s="103">
        <v>1</v>
      </c>
      <c r="E273" s="71"/>
      <c r="F273" s="101">
        <v>0.589555788071911</v>
      </c>
      <c r="G273" s="101">
        <v>1.4698677119059284E-3</v>
      </c>
      <c r="H273" s="101">
        <v>0.40920764767430801</v>
      </c>
    </row>
    <row r="274" spans="1:8">
      <c r="A274" s="9" t="s">
        <v>9</v>
      </c>
      <c r="B274" s="9"/>
      <c r="C274" s="73">
        <v>9380</v>
      </c>
      <c r="D274" s="103">
        <v>1</v>
      </c>
      <c r="F274" s="442">
        <v>3.2942430703624702E-2</v>
      </c>
      <c r="G274" s="101">
        <v>0.78283582089552195</v>
      </c>
      <c r="H274" s="101">
        <v>0.18422174840085301</v>
      </c>
    </row>
    <row r="275" spans="1:8">
      <c r="B275" s="9"/>
      <c r="C275" s="353"/>
      <c r="D275" s="354"/>
      <c r="E275" s="99"/>
      <c r="F275" s="354"/>
      <c r="G275" s="289"/>
      <c r="H275" s="289"/>
    </row>
    <row r="276" spans="1:8">
      <c r="A276" s="22" t="s">
        <v>10</v>
      </c>
      <c r="B276" s="23"/>
      <c r="C276" s="291"/>
      <c r="D276" s="292"/>
      <c r="E276" s="23"/>
      <c r="F276" s="292"/>
      <c r="G276" s="292"/>
      <c r="H276" s="292"/>
    </row>
    <row r="278" spans="1:8">
      <c r="A278" s="29" t="s">
        <v>339</v>
      </c>
    </row>
    <row r="279" spans="1:8">
      <c r="A279" s="29" t="s">
        <v>340</v>
      </c>
    </row>
    <row r="280" spans="1:8">
      <c r="A280" s="29" t="s">
        <v>341</v>
      </c>
    </row>
    <row r="281" spans="1:8">
      <c r="A281" s="29" t="s">
        <v>342</v>
      </c>
    </row>
    <row r="282" spans="1:8">
      <c r="A282" s="88" t="s">
        <v>395</v>
      </c>
    </row>
    <row r="286" spans="1:8">
      <c r="A286" s="12" t="s">
        <v>490</v>
      </c>
      <c r="B286" s="74"/>
      <c r="F286" s="75"/>
    </row>
    <row r="287" spans="1:8">
      <c r="A287" s="18"/>
      <c r="B287" s="18"/>
      <c r="C287" s="18"/>
      <c r="D287" s="18"/>
      <c r="E287" s="18"/>
      <c r="F287" s="18"/>
      <c r="G287" s="18"/>
      <c r="H287" s="76"/>
    </row>
    <row r="288" spans="1:8" ht="15.75" thickBot="1">
      <c r="A288" s="91"/>
      <c r="B288" s="92"/>
      <c r="C288" s="699" t="s">
        <v>10</v>
      </c>
      <c r="D288" s="699"/>
      <c r="E288" s="92"/>
      <c r="F288" s="93" t="s">
        <v>40</v>
      </c>
      <c r="G288" s="93"/>
      <c r="H288" s="93"/>
    </row>
    <row r="289" spans="1:11" ht="15.75" thickTop="1">
      <c r="A289" s="94" t="s">
        <v>0</v>
      </c>
      <c r="B289" s="18"/>
      <c r="C289" s="280" t="s">
        <v>41</v>
      </c>
      <c r="D289" s="280" t="s">
        <v>42</v>
      </c>
      <c r="E289" s="281"/>
      <c r="F289" s="282" t="s">
        <v>18</v>
      </c>
      <c r="G289" s="282" t="s">
        <v>19</v>
      </c>
      <c r="H289" s="282" t="s">
        <v>20</v>
      </c>
    </row>
    <row r="290" spans="1:11">
      <c r="A290" s="9" t="s">
        <v>4</v>
      </c>
      <c r="B290" s="9"/>
      <c r="C290" s="443">
        <v>124550</v>
      </c>
      <c r="D290" s="499">
        <v>1</v>
      </c>
      <c r="E290" s="71"/>
      <c r="F290" s="494">
        <v>0.93347250100361312</v>
      </c>
      <c r="G290" s="494">
        <v>2.2488960256924928E-2</v>
      </c>
      <c r="H290" s="494">
        <v>4.403853873946207E-2</v>
      </c>
      <c r="I290" s="204"/>
      <c r="J290" s="204"/>
      <c r="K290" s="204"/>
    </row>
    <row r="291" spans="1:11">
      <c r="A291" s="9" t="s">
        <v>5</v>
      </c>
      <c r="B291" s="9"/>
      <c r="C291" s="700" t="s">
        <v>391</v>
      </c>
      <c r="D291" s="700"/>
      <c r="E291" s="700"/>
      <c r="F291" s="700"/>
      <c r="G291" s="700"/>
      <c r="H291" s="700"/>
    </row>
    <row r="292" spans="1:11">
      <c r="A292" s="9" t="s">
        <v>50</v>
      </c>
      <c r="B292" s="9"/>
      <c r="C292" s="700" t="s">
        <v>391</v>
      </c>
      <c r="D292" s="700"/>
      <c r="E292" s="700"/>
      <c r="F292" s="700"/>
      <c r="G292" s="700"/>
      <c r="H292" s="700"/>
    </row>
    <row r="293" spans="1:11" ht="17.25">
      <c r="A293" s="9" t="s">
        <v>407</v>
      </c>
      <c r="B293" s="9"/>
      <c r="C293" s="495"/>
      <c r="D293" s="103"/>
      <c r="E293" s="29"/>
      <c r="F293" s="101"/>
      <c r="G293" s="101"/>
      <c r="H293" s="101"/>
    </row>
    <row r="294" spans="1:11">
      <c r="A294" s="9" t="s">
        <v>7</v>
      </c>
      <c r="B294" s="9"/>
      <c r="C294" s="700" t="s">
        <v>432</v>
      </c>
      <c r="D294" s="700"/>
      <c r="E294" s="700"/>
      <c r="F294" s="700"/>
      <c r="G294" s="700"/>
      <c r="H294" s="700"/>
    </row>
    <row r="295" spans="1:11">
      <c r="A295" s="9" t="s">
        <v>184</v>
      </c>
      <c r="B295" s="9"/>
      <c r="C295" s="700" t="s">
        <v>432</v>
      </c>
      <c r="D295" s="700"/>
      <c r="E295" s="700"/>
      <c r="F295" s="700"/>
      <c r="G295" s="700"/>
      <c r="H295" s="700"/>
    </row>
    <row r="296" spans="1:11">
      <c r="A296" s="9" t="s">
        <v>8</v>
      </c>
      <c r="B296" s="9"/>
      <c r="C296" s="443">
        <v>15418</v>
      </c>
      <c r="D296" s="499">
        <v>1</v>
      </c>
      <c r="E296" s="71"/>
      <c r="F296" s="494">
        <v>3.8461538461538464E-2</v>
      </c>
      <c r="G296" s="494">
        <v>5.3962900505902189E-2</v>
      </c>
      <c r="H296" s="494">
        <v>0.90757556103255932</v>
      </c>
      <c r="I296" s="204"/>
      <c r="J296" s="204"/>
      <c r="K296" s="204"/>
    </row>
    <row r="297" spans="1:11">
      <c r="A297" s="9" t="s">
        <v>82</v>
      </c>
      <c r="B297" s="9"/>
      <c r="C297" s="73"/>
      <c r="D297" s="103"/>
      <c r="E297" s="71"/>
      <c r="F297" s="496">
        <v>3.2611918173732581E-3</v>
      </c>
      <c r="G297" s="496">
        <v>0.27957308034390749</v>
      </c>
      <c r="H297" s="496">
        <v>0.71716572783871924</v>
      </c>
      <c r="I297" s="204"/>
      <c r="J297" s="204"/>
      <c r="K297" s="204"/>
    </row>
    <row r="298" spans="1:11">
      <c r="A298" s="9" t="s">
        <v>9</v>
      </c>
      <c r="B298" s="9"/>
      <c r="C298" s="497">
        <v>5082</v>
      </c>
      <c r="D298" s="499">
        <v>1</v>
      </c>
      <c r="F298" s="498">
        <v>0.10924242424242424</v>
      </c>
      <c r="G298" s="498">
        <v>0.78</v>
      </c>
      <c r="H298" s="498">
        <v>0.11075757575757576</v>
      </c>
      <c r="I298" s="204"/>
      <c r="J298" s="204"/>
      <c r="K298" s="204"/>
    </row>
    <row r="299" spans="1:11">
      <c r="B299" s="9"/>
      <c r="C299" s="353"/>
      <c r="D299" s="354"/>
      <c r="E299" s="99"/>
      <c r="F299" s="354"/>
      <c r="G299" s="289"/>
      <c r="H299" s="289"/>
    </row>
    <row r="300" spans="1:11">
      <c r="A300" s="22" t="s">
        <v>10</v>
      </c>
      <c r="B300" s="23"/>
      <c r="C300" s="291"/>
      <c r="D300" s="292"/>
      <c r="E300" s="23"/>
      <c r="F300" s="292"/>
      <c r="G300" s="292"/>
      <c r="H300" s="292"/>
    </row>
    <row r="302" spans="1:11">
      <c r="A302" s="29" t="s">
        <v>339</v>
      </c>
    </row>
    <row r="303" spans="1:11">
      <c r="A303" s="29" t="s">
        <v>340</v>
      </c>
    </row>
    <row r="304" spans="1:11">
      <c r="A304" s="29" t="s">
        <v>341</v>
      </c>
    </row>
    <row r="305" spans="1:8">
      <c r="A305" s="29" t="s">
        <v>342</v>
      </c>
    </row>
    <row r="306" spans="1:8">
      <c r="A306" s="88" t="s">
        <v>395</v>
      </c>
    </row>
    <row r="310" spans="1:8">
      <c r="A310" s="12" t="s">
        <v>502</v>
      </c>
      <c r="B310" s="74"/>
      <c r="F310" s="75"/>
    </row>
    <row r="311" spans="1:8">
      <c r="A311" s="18"/>
      <c r="B311" s="18"/>
      <c r="C311" s="18"/>
      <c r="D311" s="18"/>
      <c r="E311" s="18"/>
      <c r="F311" s="18"/>
      <c r="G311" s="18"/>
      <c r="H311" s="76"/>
    </row>
    <row r="312" spans="1:8" ht="15.75" thickBot="1">
      <c r="A312" s="91"/>
      <c r="B312" s="92"/>
      <c r="C312" s="699" t="s">
        <v>10</v>
      </c>
      <c r="D312" s="699"/>
      <c r="E312" s="92"/>
      <c r="F312" s="93" t="s">
        <v>40</v>
      </c>
      <c r="G312" s="93"/>
      <c r="H312" s="93"/>
    </row>
    <row r="313" spans="1:8" ht="15.75" thickTop="1">
      <c r="A313" s="94" t="s">
        <v>0</v>
      </c>
      <c r="B313" s="18"/>
      <c r="C313" s="280" t="s">
        <v>41</v>
      </c>
      <c r="D313" s="280" t="s">
        <v>42</v>
      </c>
      <c r="E313" s="281"/>
      <c r="F313" s="282" t="s">
        <v>18</v>
      </c>
      <c r="G313" s="282" t="s">
        <v>19</v>
      </c>
      <c r="H313" s="282" t="s">
        <v>20</v>
      </c>
    </row>
    <row r="314" spans="1:8">
      <c r="A314" s="9" t="s">
        <v>4</v>
      </c>
      <c r="B314" s="9"/>
      <c r="C314" s="450">
        <v>145506</v>
      </c>
      <c r="D314" s="499">
        <v>1</v>
      </c>
      <c r="E314" s="71"/>
      <c r="F314" s="586">
        <v>0.86764119692658703</v>
      </c>
      <c r="G314" s="586">
        <v>6.7131252319492005E-2</v>
      </c>
      <c r="H314" s="586">
        <v>6.5227550753920796E-2</v>
      </c>
    </row>
    <row r="315" spans="1:8">
      <c r="A315" s="9" t="s">
        <v>5</v>
      </c>
      <c r="B315" s="9"/>
      <c r="C315" s="700" t="s">
        <v>391</v>
      </c>
      <c r="D315" s="700"/>
      <c r="E315" s="700"/>
      <c r="F315" s="700"/>
      <c r="G315" s="700"/>
      <c r="H315" s="700"/>
    </row>
    <row r="316" spans="1:8">
      <c r="A316" s="9" t="s">
        <v>50</v>
      </c>
      <c r="B316" s="9"/>
      <c r="C316" s="700" t="s">
        <v>391</v>
      </c>
      <c r="D316" s="700"/>
      <c r="E316" s="700"/>
      <c r="F316" s="700"/>
      <c r="G316" s="700"/>
      <c r="H316" s="700"/>
    </row>
    <row r="317" spans="1:8" ht="17.25">
      <c r="A317" s="9" t="s">
        <v>407</v>
      </c>
      <c r="B317" s="9"/>
      <c r="C317" s="495"/>
      <c r="D317" s="103"/>
      <c r="E317" s="29"/>
      <c r="F317" s="101"/>
      <c r="G317" s="101"/>
      <c r="H317" s="101"/>
    </row>
    <row r="318" spans="1:8">
      <c r="A318" s="9" t="s">
        <v>7</v>
      </c>
      <c r="B318" s="9"/>
      <c r="C318" s="700" t="s">
        <v>432</v>
      </c>
      <c r="D318" s="700"/>
      <c r="E318" s="700"/>
      <c r="F318" s="700"/>
      <c r="G318" s="700"/>
      <c r="H318" s="700"/>
    </row>
    <row r="319" spans="1:8">
      <c r="A319" s="9" t="s">
        <v>184</v>
      </c>
      <c r="B319" s="9"/>
      <c r="C319" s="700" t="s">
        <v>432</v>
      </c>
      <c r="D319" s="700"/>
      <c r="E319" s="700"/>
      <c r="F319" s="700"/>
      <c r="G319" s="700"/>
      <c r="H319" s="700"/>
    </row>
    <row r="320" spans="1:8">
      <c r="A320" s="9" t="s">
        <v>8</v>
      </c>
      <c r="B320" s="9"/>
      <c r="C320" s="450">
        <v>12245</v>
      </c>
      <c r="D320" s="499">
        <v>1</v>
      </c>
      <c r="E320" s="71"/>
      <c r="F320" s="586">
        <v>6.7129440587995096E-2</v>
      </c>
      <c r="G320" s="586">
        <v>8.9587586770110195E-2</v>
      </c>
      <c r="H320" s="586">
        <v>0.843282972641895</v>
      </c>
    </row>
    <row r="321" spans="1:8">
      <c r="A321" s="9" t="s">
        <v>82</v>
      </c>
      <c r="B321" s="9"/>
      <c r="C321" s="450"/>
      <c r="D321" s="499">
        <v>1</v>
      </c>
      <c r="E321" s="71"/>
      <c r="F321" s="586">
        <v>0.19709794437726724</v>
      </c>
      <c r="G321" s="586">
        <v>3.6275695284159614E-3</v>
      </c>
      <c r="H321" s="586">
        <v>0.79927448609431684</v>
      </c>
    </row>
    <row r="322" spans="1:8">
      <c r="A322" s="9" t="s">
        <v>9</v>
      </c>
      <c r="B322" s="9"/>
      <c r="C322" s="450">
        <v>16318</v>
      </c>
      <c r="D322" s="499">
        <v>1</v>
      </c>
      <c r="E322" s="71"/>
      <c r="F322" s="586">
        <v>0.36350584630711003</v>
      </c>
      <c r="G322" s="586">
        <v>0.60573248155499004</v>
      </c>
      <c r="H322" s="586">
        <v>3.07616721378998E-2</v>
      </c>
    </row>
    <row r="323" spans="1:8">
      <c r="B323" s="9"/>
      <c r="C323" s="353"/>
      <c r="D323" s="354"/>
      <c r="E323" s="99"/>
      <c r="F323" s="354"/>
      <c r="G323" s="289"/>
      <c r="H323" s="289"/>
    </row>
    <row r="324" spans="1:8">
      <c r="A324" s="22" t="s">
        <v>10</v>
      </c>
      <c r="B324" s="23"/>
      <c r="C324" s="291"/>
      <c r="D324" s="292"/>
      <c r="E324" s="23"/>
      <c r="F324" s="292"/>
      <c r="G324" s="292"/>
      <c r="H324" s="292"/>
    </row>
    <row r="326" spans="1:8">
      <c r="A326" s="29" t="s">
        <v>339</v>
      </c>
    </row>
    <row r="327" spans="1:8">
      <c r="A327" s="29" t="s">
        <v>340</v>
      </c>
    </row>
    <row r="328" spans="1:8">
      <c r="A328" s="29" t="s">
        <v>341</v>
      </c>
    </row>
    <row r="329" spans="1:8">
      <c r="A329" s="29" t="s">
        <v>342</v>
      </c>
    </row>
    <row r="330" spans="1:8">
      <c r="A330" s="88" t="s">
        <v>395</v>
      </c>
    </row>
    <row r="334" spans="1:8">
      <c r="A334" s="12" t="s">
        <v>521</v>
      </c>
      <c r="B334" s="74"/>
      <c r="F334" s="75"/>
    </row>
    <row r="335" spans="1:8">
      <c r="A335" s="18"/>
      <c r="B335" s="18"/>
      <c r="C335" s="18"/>
      <c r="D335" s="18"/>
      <c r="E335" s="18"/>
      <c r="F335" s="18"/>
      <c r="G335" s="18"/>
      <c r="H335" s="76"/>
    </row>
    <row r="336" spans="1:8" ht="15.75" thickBot="1">
      <c r="A336" s="91"/>
      <c r="B336" s="92"/>
      <c r="C336" s="699" t="s">
        <v>10</v>
      </c>
      <c r="D336" s="699"/>
      <c r="E336" s="92"/>
      <c r="F336" s="93" t="s">
        <v>40</v>
      </c>
      <c r="G336" s="93"/>
      <c r="H336" s="93"/>
    </row>
    <row r="337" spans="1:8" ht="15.75" thickTop="1">
      <c r="A337" s="94" t="s">
        <v>0</v>
      </c>
      <c r="B337" s="18"/>
      <c r="C337" s="280" t="s">
        <v>41</v>
      </c>
      <c r="D337" s="280" t="s">
        <v>42</v>
      </c>
      <c r="E337" s="281"/>
      <c r="F337" s="282" t="s">
        <v>18</v>
      </c>
      <c r="G337" s="282" t="s">
        <v>19</v>
      </c>
      <c r="H337" s="282" t="s">
        <v>20</v>
      </c>
    </row>
    <row r="338" spans="1:8">
      <c r="A338" s="9" t="s">
        <v>4</v>
      </c>
      <c r="B338" s="9"/>
      <c r="C338" s="450">
        <v>143065</v>
      </c>
      <c r="D338" s="499">
        <v>1</v>
      </c>
      <c r="E338" s="71"/>
      <c r="F338" s="586">
        <v>0.85296194037675199</v>
      </c>
      <c r="G338" s="586">
        <v>6.7633593122007493E-2</v>
      </c>
      <c r="H338" s="586">
        <v>7.9404466501240695E-2</v>
      </c>
    </row>
    <row r="339" spans="1:8">
      <c r="A339" s="9" t="s">
        <v>5</v>
      </c>
      <c r="B339" s="9"/>
      <c r="C339" s="700" t="s">
        <v>391</v>
      </c>
      <c r="D339" s="700"/>
      <c r="E339" s="700"/>
      <c r="F339" s="700"/>
      <c r="G339" s="700"/>
      <c r="H339" s="700"/>
    </row>
    <row r="340" spans="1:8">
      <c r="A340" s="9" t="s">
        <v>50</v>
      </c>
      <c r="B340" s="9"/>
      <c r="C340" s="700" t="s">
        <v>391</v>
      </c>
      <c r="D340" s="700"/>
      <c r="E340" s="700"/>
      <c r="F340" s="700"/>
      <c r="G340" s="700"/>
      <c r="H340" s="700"/>
    </row>
    <row r="341" spans="1:8" ht="17.25">
      <c r="A341" s="9" t="s">
        <v>407</v>
      </c>
      <c r="B341" s="9"/>
      <c r="C341" s="495"/>
      <c r="D341" s="103"/>
      <c r="E341" s="29"/>
      <c r="F341" s="101"/>
      <c r="G341" s="101"/>
      <c r="H341" s="101"/>
    </row>
    <row r="342" spans="1:8">
      <c r="A342" s="9" t="s">
        <v>7</v>
      </c>
      <c r="B342" s="9"/>
      <c r="C342" s="700" t="s">
        <v>432</v>
      </c>
      <c r="D342" s="700"/>
      <c r="E342" s="700"/>
      <c r="F342" s="700"/>
      <c r="G342" s="700"/>
      <c r="H342" s="700"/>
    </row>
    <row r="343" spans="1:8">
      <c r="A343" s="9" t="s">
        <v>184</v>
      </c>
      <c r="B343" s="9"/>
      <c r="C343" s="700" t="s">
        <v>432</v>
      </c>
      <c r="D343" s="700"/>
      <c r="E343" s="700"/>
      <c r="F343" s="700"/>
      <c r="G343" s="700"/>
      <c r="H343" s="700"/>
    </row>
    <row r="344" spans="1:8">
      <c r="A344" s="9" t="s">
        <v>8</v>
      </c>
      <c r="B344" s="9"/>
      <c r="C344" s="450">
        <v>12477</v>
      </c>
      <c r="D344" s="499">
        <v>1</v>
      </c>
      <c r="E344" s="71"/>
      <c r="F344" s="586">
        <v>0.102107878496433</v>
      </c>
      <c r="G344" s="586">
        <v>0.11829766770858401</v>
      </c>
      <c r="H344" s="586">
        <v>0.77959445379498304</v>
      </c>
    </row>
    <row r="345" spans="1:8">
      <c r="A345" s="9" t="s">
        <v>82</v>
      </c>
      <c r="B345" s="9"/>
      <c r="C345" s="450"/>
      <c r="D345" s="499">
        <v>1</v>
      </c>
      <c r="E345" s="71"/>
      <c r="F345" s="586">
        <v>0.18797308662741799</v>
      </c>
      <c r="G345" s="586">
        <v>0.18965517241379309</v>
      </c>
      <c r="H345" s="586">
        <v>0.62237174095878889</v>
      </c>
    </row>
    <row r="346" spans="1:8">
      <c r="A346" s="9" t="s">
        <v>9</v>
      </c>
      <c r="B346" s="9"/>
      <c r="C346" s="450">
        <v>16470</v>
      </c>
      <c r="D346" s="499">
        <v>1</v>
      </c>
      <c r="E346" s="71"/>
      <c r="F346" s="586">
        <v>0.14948391013964801</v>
      </c>
      <c r="G346" s="586">
        <v>0.78888888888888897</v>
      </c>
      <c r="H346" s="586">
        <v>6.1627200971463299E-2</v>
      </c>
    </row>
    <row r="347" spans="1:8">
      <c r="B347" s="9"/>
      <c r="C347" s="353"/>
      <c r="D347" s="354"/>
      <c r="E347" s="99"/>
      <c r="F347" s="354"/>
      <c r="G347" s="289"/>
      <c r="H347" s="289"/>
    </row>
    <row r="348" spans="1:8">
      <c r="A348" s="22" t="s">
        <v>10</v>
      </c>
      <c r="B348" s="23"/>
      <c r="C348" s="291"/>
      <c r="D348" s="292"/>
      <c r="E348" s="23"/>
      <c r="F348" s="292"/>
      <c r="G348" s="292"/>
      <c r="H348" s="292"/>
    </row>
    <row r="350" spans="1:8">
      <c r="A350" s="29" t="s">
        <v>339</v>
      </c>
    </row>
    <row r="351" spans="1:8">
      <c r="A351" s="29" t="s">
        <v>340</v>
      </c>
    </row>
    <row r="352" spans="1:8">
      <c r="A352" s="29" t="s">
        <v>341</v>
      </c>
    </row>
    <row r="353" spans="1:8">
      <c r="A353" s="29" t="s">
        <v>342</v>
      </c>
    </row>
    <row r="354" spans="1:8">
      <c r="A354" s="88" t="s">
        <v>395</v>
      </c>
    </row>
    <row r="358" spans="1:8">
      <c r="A358" s="12" t="s">
        <v>533</v>
      </c>
      <c r="B358" s="74"/>
      <c r="F358" s="75"/>
    </row>
    <row r="359" spans="1:8">
      <c r="A359" s="18"/>
      <c r="B359" s="18"/>
      <c r="C359" s="18"/>
      <c r="D359" s="18"/>
      <c r="E359" s="18"/>
      <c r="F359" s="18"/>
      <c r="G359" s="18"/>
      <c r="H359" s="76"/>
    </row>
    <row r="360" spans="1:8" ht="15.75" thickBot="1">
      <c r="A360" s="91"/>
      <c r="B360" s="92"/>
      <c r="C360" s="699" t="s">
        <v>10</v>
      </c>
      <c r="D360" s="699"/>
      <c r="E360" s="92"/>
      <c r="F360" s="93" t="s">
        <v>40</v>
      </c>
      <c r="G360" s="93"/>
      <c r="H360" s="93"/>
    </row>
    <row r="361" spans="1:8" ht="15.75" thickTop="1">
      <c r="A361" s="94" t="s">
        <v>0</v>
      </c>
      <c r="B361" s="18"/>
      <c r="C361" s="280" t="s">
        <v>41</v>
      </c>
      <c r="D361" s="280" t="s">
        <v>42</v>
      </c>
      <c r="E361" s="281"/>
      <c r="F361" s="282" t="s">
        <v>18</v>
      </c>
      <c r="G361" s="282" t="s">
        <v>19</v>
      </c>
      <c r="H361" s="282" t="s">
        <v>20</v>
      </c>
    </row>
    <row r="362" spans="1:8">
      <c r="A362" s="9" t="s">
        <v>4</v>
      </c>
      <c r="B362" s="9"/>
      <c r="C362" s="450">
        <v>150336</v>
      </c>
      <c r="D362" s="499">
        <v>1</v>
      </c>
      <c r="E362" s="71"/>
      <c r="F362" s="586">
        <v>0.87935025542784195</v>
      </c>
      <c r="G362" s="586">
        <v>6.6358024691358E-2</v>
      </c>
      <c r="H362" s="586">
        <v>5.4291719880800303E-2</v>
      </c>
    </row>
    <row r="363" spans="1:8">
      <c r="A363" s="9" t="s">
        <v>5</v>
      </c>
      <c r="B363" s="9"/>
      <c r="C363" s="700" t="s">
        <v>391</v>
      </c>
      <c r="D363" s="700"/>
      <c r="E363" s="700"/>
      <c r="F363" s="700"/>
      <c r="G363" s="700"/>
      <c r="H363" s="700"/>
    </row>
    <row r="364" spans="1:8">
      <c r="A364" s="9" t="s">
        <v>50</v>
      </c>
      <c r="B364" s="9"/>
      <c r="C364" s="700" t="s">
        <v>391</v>
      </c>
      <c r="D364" s="700"/>
      <c r="E364" s="700"/>
      <c r="F364" s="700"/>
      <c r="G364" s="700"/>
      <c r="H364" s="700"/>
    </row>
    <row r="365" spans="1:8" ht="17.25">
      <c r="A365" s="9" t="s">
        <v>407</v>
      </c>
      <c r="B365" s="9"/>
      <c r="C365" s="495"/>
      <c r="D365" s="103"/>
      <c r="E365" s="29"/>
      <c r="F365" s="101"/>
      <c r="G365" s="101"/>
      <c r="H365" s="101"/>
    </row>
    <row r="366" spans="1:8">
      <c r="A366" s="9" t="s">
        <v>7</v>
      </c>
      <c r="B366" s="9"/>
      <c r="C366" s="700" t="s">
        <v>432</v>
      </c>
      <c r="D366" s="700"/>
      <c r="E366" s="700"/>
      <c r="F366" s="700"/>
      <c r="G366" s="700"/>
      <c r="H366" s="700"/>
    </row>
    <row r="367" spans="1:8">
      <c r="A367" s="9" t="s">
        <v>184</v>
      </c>
      <c r="B367" s="9"/>
      <c r="C367" s="700" t="s">
        <v>432</v>
      </c>
      <c r="D367" s="700"/>
      <c r="E367" s="700"/>
      <c r="F367" s="700"/>
      <c r="G367" s="700"/>
      <c r="H367" s="700"/>
    </row>
    <row r="368" spans="1:8">
      <c r="A368" s="9" t="s">
        <v>8</v>
      </c>
      <c r="B368" s="9"/>
      <c r="C368" s="450">
        <v>11197</v>
      </c>
      <c r="D368" s="499">
        <v>1</v>
      </c>
      <c r="E368" s="71"/>
      <c r="F368" s="586">
        <v>0.18004822720371499</v>
      </c>
      <c r="G368" s="586">
        <v>0.13771545949808001</v>
      </c>
      <c r="H368" s="586">
        <v>0.682236313298205</v>
      </c>
    </row>
    <row r="369" spans="1:8">
      <c r="A369" s="9" t="s">
        <v>82</v>
      </c>
      <c r="B369" s="9"/>
      <c r="C369" s="450"/>
      <c r="D369" s="499">
        <v>1</v>
      </c>
      <c r="E369" s="71"/>
      <c r="F369" s="586">
        <v>0.21318247126436782</v>
      </c>
      <c r="G369" s="586">
        <v>0.14655172413793102</v>
      </c>
      <c r="H369" s="586">
        <v>0.6402658045977011</v>
      </c>
    </row>
    <row r="370" spans="1:8">
      <c r="A370" s="9" t="s">
        <v>9</v>
      </c>
      <c r="B370" s="9"/>
      <c r="C370" s="450">
        <v>137619</v>
      </c>
      <c r="D370" s="499">
        <v>1</v>
      </c>
      <c r="E370" s="71"/>
      <c r="F370" s="586">
        <v>0.18711805782631799</v>
      </c>
      <c r="G370" s="586">
        <v>0.64483101897267103</v>
      </c>
      <c r="H370" s="586">
        <v>0.168050923201011</v>
      </c>
    </row>
    <row r="371" spans="1:8">
      <c r="B371" s="9"/>
      <c r="C371" s="353"/>
      <c r="D371" s="354"/>
      <c r="E371" s="99"/>
      <c r="F371" s="354"/>
      <c r="G371" s="289"/>
      <c r="H371" s="289"/>
    </row>
    <row r="372" spans="1:8">
      <c r="A372" s="22" t="s">
        <v>10</v>
      </c>
      <c r="B372" s="23"/>
      <c r="C372" s="291"/>
      <c r="D372" s="292"/>
      <c r="E372" s="23"/>
      <c r="F372" s="292"/>
      <c r="G372" s="292"/>
      <c r="H372" s="292"/>
    </row>
    <row r="374" spans="1:8">
      <c r="A374" s="29" t="s">
        <v>339</v>
      </c>
    </row>
    <row r="375" spans="1:8">
      <c r="A375" s="29" t="s">
        <v>340</v>
      </c>
    </row>
    <row r="376" spans="1:8">
      <c r="A376" s="29" t="s">
        <v>341</v>
      </c>
    </row>
    <row r="377" spans="1:8">
      <c r="A377" s="29" t="s">
        <v>342</v>
      </c>
    </row>
    <row r="378" spans="1:8">
      <c r="A378" s="88" t="s">
        <v>395</v>
      </c>
    </row>
  </sheetData>
  <mergeCells count="87">
    <mergeCell ref="C288:D288"/>
    <mergeCell ref="C291:H291"/>
    <mergeCell ref="C292:H292"/>
    <mergeCell ref="C294:H294"/>
    <mergeCell ref="C295:H295"/>
    <mergeCell ref="C264:D264"/>
    <mergeCell ref="C267:H267"/>
    <mergeCell ref="C268:H268"/>
    <mergeCell ref="C270:H270"/>
    <mergeCell ref="C271:H271"/>
    <mergeCell ref="C247:H247"/>
    <mergeCell ref="C248:H248"/>
    <mergeCell ref="C196:H196"/>
    <mergeCell ref="C198:H198"/>
    <mergeCell ref="C241:D241"/>
    <mergeCell ref="C244:H244"/>
    <mergeCell ref="C245:H245"/>
    <mergeCell ref="C199:H199"/>
    <mergeCell ref="C225:H225"/>
    <mergeCell ref="C215:D215"/>
    <mergeCell ref="C218:H218"/>
    <mergeCell ref="C221:H221"/>
    <mergeCell ref="C222:H222"/>
    <mergeCell ref="C224:H224"/>
    <mergeCell ref="C138:D138"/>
    <mergeCell ref="C141:H141"/>
    <mergeCell ref="C144:H144"/>
    <mergeCell ref="C145:H145"/>
    <mergeCell ref="C147:H147"/>
    <mergeCell ref="C148:H148"/>
    <mergeCell ref="C163:D163"/>
    <mergeCell ref="C166:H166"/>
    <mergeCell ref="C169:H169"/>
    <mergeCell ref="C170:H170"/>
    <mergeCell ref="C172:H172"/>
    <mergeCell ref="C173:H173"/>
    <mergeCell ref="C189:D189"/>
    <mergeCell ref="C192:H192"/>
    <mergeCell ref="C195:H195"/>
    <mergeCell ref="C113:D113"/>
    <mergeCell ref="C73:H73"/>
    <mergeCell ref="C125:H125"/>
    <mergeCell ref="C98:H98"/>
    <mergeCell ref="C97:H97"/>
    <mergeCell ref="C74:H74"/>
    <mergeCell ref="C76:H76"/>
    <mergeCell ref="C88:D88"/>
    <mergeCell ref="C91:H91"/>
    <mergeCell ref="C94:H94"/>
    <mergeCell ref="C95:H95"/>
    <mergeCell ref="C116:H116"/>
    <mergeCell ref="C119:H119"/>
    <mergeCell ref="C120:H120"/>
    <mergeCell ref="C122:H122"/>
    <mergeCell ref="C123:H123"/>
    <mergeCell ref="C70:H70"/>
    <mergeCell ref="C25:D25"/>
    <mergeCell ref="C28:H28"/>
    <mergeCell ref="C31:H31"/>
    <mergeCell ref="C32:H32"/>
    <mergeCell ref="C34:H34"/>
    <mergeCell ref="C46:D46"/>
    <mergeCell ref="C49:H49"/>
    <mergeCell ref="C52:H52"/>
    <mergeCell ref="C53:H53"/>
    <mergeCell ref="C55:H55"/>
    <mergeCell ref="C67:D67"/>
    <mergeCell ref="C4:D4"/>
    <mergeCell ref="C11:H11"/>
    <mergeCell ref="C10:H10"/>
    <mergeCell ref="C13:H13"/>
    <mergeCell ref="C7:H7"/>
    <mergeCell ref="C312:D312"/>
    <mergeCell ref="C315:H315"/>
    <mergeCell ref="C316:H316"/>
    <mergeCell ref="C318:H318"/>
    <mergeCell ref="C319:H319"/>
    <mergeCell ref="C336:D336"/>
    <mergeCell ref="C339:H339"/>
    <mergeCell ref="C340:H340"/>
    <mergeCell ref="C342:H342"/>
    <mergeCell ref="C343:H343"/>
    <mergeCell ref="C360:D360"/>
    <mergeCell ref="C363:H363"/>
    <mergeCell ref="C364:H364"/>
    <mergeCell ref="C366:H366"/>
    <mergeCell ref="C367:H367"/>
  </mergeCells>
  <phoneticPr fontId="9" type="noConversion"/>
  <printOptions horizontalCentered="1" verticalCentered="1"/>
  <pageMargins left="0.75" right="0.75" top="1" bottom="1" header="0.511811024" footer="0.511811024"/>
  <pageSetup paperSize="9" orientation="portrait" r:id="rId1"/>
  <headerFooter alignWithMargins="0">
    <oddHeader>&amp;A</oddHeader>
    <oddFooter>&amp;L&amp;F&amp;R&amp;D</oddFooter>
  </headerFooter>
  <rowBreaks count="2" manualBreakCount="2">
    <brk id="43" max="16383" man="1"/>
    <brk id="85" max="16383"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BD19"/>
  <sheetViews>
    <sheetView showGridLines="0" zoomScale="90" zoomScaleNormal="90" workbookViewId="0"/>
  </sheetViews>
  <sheetFormatPr baseColWidth="10" defaultRowHeight="15"/>
  <cols>
    <col min="1" max="1" width="12.625" style="13" customWidth="1"/>
    <col min="2" max="2" width="1.125" style="13" customWidth="1"/>
    <col min="3" max="22" width="7.625" style="13" customWidth="1"/>
    <col min="23" max="23" width="8.875" style="13" customWidth="1"/>
    <col min="24" max="24" width="1.625" style="13" customWidth="1"/>
    <col min="25" max="37" width="7.625" style="13" customWidth="1"/>
    <col min="38" max="38" width="7.25" style="13" customWidth="1"/>
    <col min="39" max="39" width="7.125" style="13" customWidth="1"/>
    <col min="40" max="40" width="8.875" style="13" customWidth="1"/>
    <col min="41" max="16384" width="11" style="13"/>
  </cols>
  <sheetData>
    <row r="1" spans="1:56" ht="15.75" customHeight="1">
      <c r="A1" s="10" t="s">
        <v>309</v>
      </c>
      <c r="B1" s="74"/>
    </row>
    <row r="2" spans="1:56" ht="15.75" customHeight="1">
      <c r="A2" s="12" t="s">
        <v>150</v>
      </c>
      <c r="B2" s="74"/>
    </row>
    <row r="3" spans="1:56" s="76" customFormat="1" ht="12.75" customHeight="1" thickBot="1">
      <c r="A3" s="697" t="s">
        <v>0</v>
      </c>
      <c r="B3" s="50"/>
      <c r="C3" s="704" t="s">
        <v>52</v>
      </c>
      <c r="D3" s="704"/>
      <c r="E3" s="704"/>
      <c r="F3" s="704"/>
      <c r="G3" s="704"/>
      <c r="H3" s="704"/>
      <c r="I3" s="704"/>
      <c r="J3" s="704"/>
      <c r="K3" s="704"/>
      <c r="L3" s="704"/>
      <c r="M3" s="704"/>
      <c r="N3" s="704"/>
      <c r="O3" s="704"/>
      <c r="P3" s="704"/>
      <c r="Q3" s="704"/>
      <c r="R3" s="704"/>
      <c r="S3" s="704"/>
      <c r="T3" s="704"/>
      <c r="U3" s="704"/>
      <c r="V3" s="704"/>
      <c r="W3" s="704"/>
      <c r="X3" s="50"/>
      <c r="Y3" s="704" t="s">
        <v>130</v>
      </c>
      <c r="Z3" s="704"/>
      <c r="AA3" s="704"/>
      <c r="AB3" s="704"/>
      <c r="AC3" s="704"/>
      <c r="AD3" s="704"/>
      <c r="AE3" s="704"/>
      <c r="AF3" s="704"/>
      <c r="AG3" s="704"/>
      <c r="AH3" s="704"/>
      <c r="AI3" s="704"/>
      <c r="AJ3" s="704"/>
      <c r="AK3" s="704"/>
      <c r="AL3" s="704"/>
      <c r="AM3" s="704"/>
      <c r="AN3" s="704"/>
      <c r="AO3" s="704"/>
      <c r="AP3" s="704"/>
      <c r="AQ3" s="704"/>
      <c r="AR3" s="704"/>
      <c r="AS3" s="704"/>
    </row>
    <row r="4" spans="1:56" s="76" customFormat="1" ht="22.5" customHeight="1">
      <c r="A4" s="697"/>
      <c r="B4" s="50"/>
      <c r="C4" s="108">
        <v>2005</v>
      </c>
      <c r="D4" s="108">
        <v>2006</v>
      </c>
      <c r="E4" s="108">
        <v>2007</v>
      </c>
      <c r="F4" s="108">
        <v>2008</v>
      </c>
      <c r="G4" s="108">
        <v>2009</v>
      </c>
      <c r="H4" s="108">
        <v>2010</v>
      </c>
      <c r="I4" s="108">
        <v>2011</v>
      </c>
      <c r="J4" s="108">
        <v>2012</v>
      </c>
      <c r="K4" s="108">
        <v>2013</v>
      </c>
      <c r="L4" s="108">
        <v>2014</v>
      </c>
      <c r="M4" s="108">
        <v>2015</v>
      </c>
      <c r="N4" s="108">
        <v>2016</v>
      </c>
      <c r="O4" s="108">
        <v>2017</v>
      </c>
      <c r="P4" s="108">
        <v>2018</v>
      </c>
      <c r="Q4" s="108">
        <v>2019</v>
      </c>
      <c r="R4" s="108">
        <v>2020</v>
      </c>
      <c r="S4" s="108">
        <v>2021</v>
      </c>
      <c r="T4" s="108">
        <v>2022</v>
      </c>
      <c r="U4" s="108">
        <v>2023</v>
      </c>
      <c r="V4" s="108">
        <v>2024</v>
      </c>
      <c r="W4" s="108">
        <v>2025</v>
      </c>
      <c r="X4" s="50"/>
      <c r="Y4" s="108">
        <v>2005</v>
      </c>
      <c r="Z4" s="108">
        <v>2006</v>
      </c>
      <c r="AA4" s="108">
        <v>2007</v>
      </c>
      <c r="AB4" s="108">
        <v>2008</v>
      </c>
      <c r="AC4" s="108">
        <v>2009</v>
      </c>
      <c r="AD4" s="108">
        <v>2010</v>
      </c>
      <c r="AE4" s="108">
        <v>2011</v>
      </c>
      <c r="AF4" s="108">
        <v>2012</v>
      </c>
      <c r="AG4" s="108">
        <v>2013</v>
      </c>
      <c r="AH4" s="108">
        <v>2014</v>
      </c>
      <c r="AI4" s="108">
        <v>2015</v>
      </c>
      <c r="AJ4" s="108">
        <v>2016</v>
      </c>
      <c r="AK4" s="108">
        <v>2017</v>
      </c>
      <c r="AL4" s="108">
        <v>2018</v>
      </c>
      <c r="AM4" s="108">
        <v>2019</v>
      </c>
      <c r="AN4" s="108">
        <v>2020</v>
      </c>
      <c r="AO4" s="108">
        <v>2021</v>
      </c>
      <c r="AP4" s="108">
        <v>2022</v>
      </c>
      <c r="AQ4" s="108">
        <v>2023</v>
      </c>
      <c r="AR4" s="108">
        <v>2024</v>
      </c>
      <c r="AS4" s="108">
        <v>2025</v>
      </c>
    </row>
    <row r="5" spans="1:56" s="76" customFormat="1" ht="8.1" customHeight="1">
      <c r="A5" s="50"/>
      <c r="B5" s="50"/>
      <c r="C5" s="50"/>
      <c r="D5" s="50"/>
      <c r="E5" s="50"/>
      <c r="F5" s="50"/>
      <c r="G5" s="50"/>
      <c r="H5" s="50"/>
      <c r="I5" s="50"/>
      <c r="J5" s="50"/>
      <c r="K5" s="50"/>
      <c r="L5" s="50"/>
      <c r="M5" s="50"/>
      <c r="N5" s="50"/>
      <c r="O5" s="50"/>
      <c r="P5" s="50"/>
      <c r="Q5" s="50"/>
      <c r="R5" s="50"/>
      <c r="S5" s="50"/>
      <c r="T5" s="50"/>
      <c r="U5" s="50"/>
      <c r="V5" s="50"/>
      <c r="W5" s="50"/>
      <c r="X5" s="50"/>
      <c r="Y5" s="50"/>
      <c r="Z5" s="50"/>
      <c r="AA5" s="50"/>
      <c r="AB5" s="50"/>
      <c r="AC5" s="50"/>
      <c r="AD5" s="51"/>
    </row>
    <row r="6" spans="1:56" ht="16.5" hidden="1" customHeight="1">
      <c r="A6" s="30" t="s">
        <v>2</v>
      </c>
      <c r="B6" s="29"/>
      <c r="C6" s="109">
        <v>9213</v>
      </c>
      <c r="D6" s="109">
        <v>9902</v>
      </c>
      <c r="E6" s="109">
        <v>14387</v>
      </c>
      <c r="F6" s="110"/>
      <c r="G6" s="110"/>
      <c r="H6" s="110"/>
      <c r="I6" s="110"/>
      <c r="J6" s="110"/>
      <c r="K6" s="110"/>
      <c r="L6" s="110"/>
      <c r="M6" s="110"/>
      <c r="N6" s="110"/>
      <c r="O6" s="110"/>
      <c r="P6" s="110"/>
      <c r="Q6" s="110"/>
      <c r="R6" s="110"/>
      <c r="S6" s="110"/>
      <c r="T6" s="110"/>
      <c r="U6" s="110"/>
      <c r="V6" s="110"/>
      <c r="W6" s="110"/>
      <c r="X6" s="109"/>
      <c r="Y6" s="111">
        <v>0.9</v>
      </c>
      <c r="Z6" s="111">
        <v>1</v>
      </c>
      <c r="AA6" s="111">
        <v>1.3</v>
      </c>
      <c r="AB6" s="110"/>
      <c r="AC6" s="110"/>
      <c r="AD6" s="110"/>
      <c r="AE6" s="110"/>
      <c r="AF6" s="110"/>
      <c r="AG6" s="110"/>
      <c r="AH6" s="110"/>
      <c r="AI6" s="110"/>
      <c r="AJ6" s="110"/>
    </row>
    <row r="7" spans="1:56" ht="15.75" hidden="1" customHeight="1">
      <c r="A7" s="30" t="s">
        <v>3</v>
      </c>
      <c r="B7" s="29"/>
      <c r="C7" s="109">
        <v>1689</v>
      </c>
      <c r="D7" s="109">
        <v>1568</v>
      </c>
      <c r="E7" s="109">
        <v>2090</v>
      </c>
      <c r="F7" s="109">
        <v>1926</v>
      </c>
      <c r="G7" s="109">
        <v>1998</v>
      </c>
      <c r="H7" s="110"/>
      <c r="I7" s="110"/>
      <c r="J7" s="110"/>
      <c r="K7" s="110"/>
      <c r="L7" s="110"/>
      <c r="M7" s="110"/>
      <c r="N7" s="110"/>
      <c r="O7" s="110"/>
      <c r="P7" s="110"/>
      <c r="Q7" s="110"/>
      <c r="R7" s="110"/>
      <c r="S7" s="110"/>
      <c r="T7" s="110"/>
      <c r="U7" s="110"/>
      <c r="V7" s="110"/>
      <c r="W7" s="110"/>
      <c r="X7" s="109"/>
      <c r="Y7" s="111">
        <v>2</v>
      </c>
      <c r="Z7" s="111">
        <v>1.7</v>
      </c>
      <c r="AA7" s="111">
        <v>2.2000000000000002</v>
      </c>
      <c r="AB7" s="111">
        <v>1.9</v>
      </c>
      <c r="AC7" s="111">
        <v>19.100000000000001</v>
      </c>
      <c r="AD7" s="110"/>
      <c r="AE7" s="110"/>
      <c r="AF7" s="110"/>
      <c r="AG7" s="110"/>
      <c r="AH7" s="110"/>
      <c r="AI7" s="110"/>
      <c r="AJ7" s="110"/>
    </row>
    <row r="8" spans="1:56" ht="15.75" customHeight="1">
      <c r="A8" s="30" t="s">
        <v>4</v>
      </c>
      <c r="B8" s="29"/>
      <c r="C8" s="109">
        <v>9652</v>
      </c>
      <c r="D8" s="109">
        <v>25883</v>
      </c>
      <c r="E8" s="109">
        <v>12389</v>
      </c>
      <c r="F8" s="109">
        <v>11942</v>
      </c>
      <c r="G8" s="109">
        <v>13443</v>
      </c>
      <c r="H8" s="109">
        <v>13398</v>
      </c>
      <c r="I8" s="109">
        <v>12330</v>
      </c>
      <c r="J8" s="109">
        <v>12773</v>
      </c>
      <c r="K8" s="109">
        <v>14579</v>
      </c>
      <c r="L8" s="109">
        <v>14877</v>
      </c>
      <c r="M8" s="109">
        <v>15065</v>
      </c>
      <c r="N8" s="109">
        <v>15837</v>
      </c>
      <c r="O8" s="109">
        <v>15787</v>
      </c>
      <c r="P8" s="106">
        <v>15659</v>
      </c>
      <c r="Q8" s="106">
        <v>16234</v>
      </c>
      <c r="R8" s="106">
        <v>18533</v>
      </c>
      <c r="S8" s="443">
        <v>19364</v>
      </c>
      <c r="T8" s="450">
        <v>16738</v>
      </c>
      <c r="U8" s="450">
        <v>17208</v>
      </c>
      <c r="V8" s="450">
        <v>17504</v>
      </c>
      <c r="W8" s="450">
        <v>16940</v>
      </c>
      <c r="X8" s="109"/>
      <c r="Y8" s="112">
        <v>1.4</v>
      </c>
      <c r="Z8" s="112">
        <v>3.6</v>
      </c>
      <c r="AA8" s="112">
        <v>1.6</v>
      </c>
      <c r="AB8" s="112">
        <v>1.5</v>
      </c>
      <c r="AC8" s="112">
        <v>1.6</v>
      </c>
      <c r="AD8" s="113">
        <v>1.5310131289118083</v>
      </c>
      <c r="AE8" s="113">
        <v>1.4</v>
      </c>
      <c r="AF8" s="113">
        <v>1.3780533380976669</v>
      </c>
      <c r="AG8" s="113">
        <v>1.5305959613011924</v>
      </c>
      <c r="AH8" s="113">
        <v>1.5263992583158594</v>
      </c>
      <c r="AI8" s="113">
        <v>1.5</v>
      </c>
      <c r="AJ8" s="113">
        <v>1.5559363387522072</v>
      </c>
      <c r="AK8" s="113">
        <v>1.5131594648857769</v>
      </c>
      <c r="AL8" s="36">
        <v>1.4627674356712548</v>
      </c>
      <c r="AM8" s="36">
        <v>1.4824399716369439</v>
      </c>
      <c r="AN8" s="36">
        <v>1.6724458832951685</v>
      </c>
      <c r="AP8" s="450"/>
    </row>
    <row r="9" spans="1:56" ht="15.75" customHeight="1">
      <c r="A9" s="30" t="s">
        <v>5</v>
      </c>
      <c r="B9" s="29"/>
      <c r="C9" s="109">
        <v>1526</v>
      </c>
      <c r="D9" s="109">
        <v>1749</v>
      </c>
      <c r="E9" s="109">
        <v>1932</v>
      </c>
      <c r="F9" s="109">
        <v>2064</v>
      </c>
      <c r="G9" s="109">
        <v>2813</v>
      </c>
      <c r="H9" s="109">
        <v>2966</v>
      </c>
      <c r="I9" s="109">
        <v>2830</v>
      </c>
      <c r="J9" s="109">
        <v>3515</v>
      </c>
      <c r="K9" s="109">
        <v>3750</v>
      </c>
      <c r="L9" s="109">
        <v>3326</v>
      </c>
      <c r="M9" s="109">
        <v>4662</v>
      </c>
      <c r="N9" s="109">
        <v>6811</v>
      </c>
      <c r="O9" s="109">
        <v>4886</v>
      </c>
      <c r="P9" s="109"/>
      <c r="Q9" s="109"/>
      <c r="R9" s="109"/>
      <c r="S9" s="109"/>
      <c r="X9" s="109"/>
      <c r="Y9" s="112">
        <v>0.3</v>
      </c>
      <c r="Z9" s="112">
        <v>0.3</v>
      </c>
      <c r="AA9" s="112">
        <v>0.3</v>
      </c>
      <c r="AB9" s="112">
        <v>0.3</v>
      </c>
      <c r="AC9" s="112">
        <v>0.3</v>
      </c>
      <c r="AD9" s="113">
        <v>0.31994228525950597</v>
      </c>
      <c r="AE9" s="113">
        <v>0.31994228525950597</v>
      </c>
      <c r="AF9" s="113">
        <v>0.31994228525950597</v>
      </c>
      <c r="AG9" s="113">
        <v>0.31994228525950597</v>
      </c>
      <c r="AH9" s="113">
        <v>0.31994228525950597</v>
      </c>
      <c r="AI9" s="113">
        <v>0.35062673212200396</v>
      </c>
      <c r="AJ9" s="113">
        <v>0.4825227374051187</v>
      </c>
      <c r="AK9" s="113">
        <v>0.37407648432415902</v>
      </c>
      <c r="AO9" s="444">
        <v>3.6240000000000001</v>
      </c>
      <c r="AP9" s="453"/>
      <c r="AQ9" s="676">
        <v>30.472000000000001</v>
      </c>
      <c r="AR9" s="677">
        <v>33.82</v>
      </c>
      <c r="AS9" s="677">
        <v>42.962000000000003</v>
      </c>
    </row>
    <row r="10" spans="1:56" ht="15.75" customHeight="1">
      <c r="A10" s="30" t="s">
        <v>50</v>
      </c>
      <c r="B10" s="29"/>
      <c r="C10" s="703"/>
      <c r="D10" s="703"/>
      <c r="E10" s="703"/>
      <c r="F10" s="703"/>
      <c r="G10" s="703"/>
      <c r="H10" s="703"/>
      <c r="I10" s="703"/>
      <c r="J10" s="703"/>
      <c r="K10" s="703"/>
      <c r="L10" s="703"/>
      <c r="M10" s="703"/>
      <c r="N10" s="703"/>
      <c r="O10" s="703"/>
      <c r="P10" s="703"/>
      <c r="Q10" s="703"/>
      <c r="R10" s="703"/>
      <c r="S10" s="584"/>
      <c r="T10" s="455">
        <v>2818</v>
      </c>
      <c r="U10" s="455">
        <v>5960</v>
      </c>
      <c r="V10" s="455">
        <v>6581</v>
      </c>
      <c r="W10" s="455">
        <v>6916</v>
      </c>
      <c r="X10" s="114"/>
      <c r="Y10" s="703"/>
      <c r="Z10" s="703"/>
      <c r="AA10" s="703"/>
      <c r="AB10" s="703"/>
      <c r="AC10" s="703"/>
      <c r="AD10" s="703"/>
      <c r="AE10" s="703"/>
      <c r="AF10" s="703"/>
      <c r="AG10" s="703"/>
      <c r="AH10" s="703"/>
      <c r="AI10" s="703"/>
      <c r="AJ10" s="703"/>
      <c r="AK10" s="703"/>
      <c r="AL10" s="703"/>
      <c r="AM10" s="703"/>
      <c r="AN10" s="703"/>
      <c r="AO10" s="80"/>
      <c r="AP10" s="80"/>
      <c r="AQ10" s="80"/>
      <c r="AR10" s="80"/>
      <c r="AS10" s="80"/>
    </row>
    <row r="11" spans="1:56" ht="15.75" customHeight="1">
      <c r="A11" s="30" t="s">
        <v>6</v>
      </c>
      <c r="B11" s="29"/>
      <c r="C11" s="109">
        <v>1006</v>
      </c>
      <c r="D11" s="109">
        <v>970</v>
      </c>
      <c r="E11" s="109">
        <v>995</v>
      </c>
      <c r="F11" s="109">
        <v>1004</v>
      </c>
      <c r="G11" s="109">
        <v>1204</v>
      </c>
      <c r="H11" s="109">
        <v>1046</v>
      </c>
      <c r="I11" s="109">
        <v>1041</v>
      </c>
      <c r="J11" s="109">
        <v>1076</v>
      </c>
      <c r="K11" s="109">
        <v>801</v>
      </c>
      <c r="L11" s="109">
        <v>1241</v>
      </c>
      <c r="M11" s="109">
        <v>1338</v>
      </c>
      <c r="N11" s="109">
        <v>1632</v>
      </c>
      <c r="O11" s="109">
        <v>1207</v>
      </c>
      <c r="P11" s="109"/>
      <c r="Q11" s="109"/>
      <c r="R11" s="109"/>
      <c r="S11" s="109"/>
      <c r="T11" s="109"/>
      <c r="U11" s="109"/>
      <c r="V11" s="109"/>
      <c r="W11" s="109"/>
      <c r="X11" s="109"/>
      <c r="Y11" s="112">
        <v>0.9</v>
      </c>
      <c r="Z11" s="112">
        <v>0.8</v>
      </c>
      <c r="AA11" s="112">
        <v>0.7</v>
      </c>
      <c r="AB11" s="112">
        <v>0.7</v>
      </c>
      <c r="AC11" s="112">
        <v>0.7</v>
      </c>
      <c r="AD11" s="113">
        <v>0.51351764001824318</v>
      </c>
      <c r="AE11" s="113">
        <v>0.47228704890008383</v>
      </c>
      <c r="AF11" s="113">
        <v>0.45608545583325244</v>
      </c>
      <c r="AG11" s="113">
        <v>0.31946091270102406</v>
      </c>
      <c r="AH11" s="113">
        <v>0.46967119988313094</v>
      </c>
      <c r="AI11" s="113">
        <v>0.47988138537236891</v>
      </c>
      <c r="AJ11" s="29">
        <v>0.6</v>
      </c>
      <c r="AK11" s="113">
        <v>0.39338179936159384</v>
      </c>
      <c r="AL11" s="113">
        <v>0.50830100389448263</v>
      </c>
      <c r="AM11" s="113">
        <v>0.60804611168510636</v>
      </c>
      <c r="AN11" s="113">
        <v>0.13218824301533</v>
      </c>
      <c r="AO11" s="500">
        <v>8.6999999999999994E-2</v>
      </c>
      <c r="AP11" s="445"/>
    </row>
    <row r="12" spans="1:56" ht="15.75" customHeight="1">
      <c r="A12" s="30" t="s">
        <v>7</v>
      </c>
      <c r="B12" s="29"/>
      <c r="C12" s="703"/>
      <c r="D12" s="703"/>
      <c r="E12" s="703"/>
      <c r="F12" s="703"/>
      <c r="G12" s="703"/>
      <c r="H12" s="703"/>
      <c r="I12" s="703"/>
      <c r="J12" s="703"/>
      <c r="K12" s="703"/>
      <c r="L12" s="703"/>
      <c r="M12" s="703"/>
      <c r="N12" s="703"/>
      <c r="O12" s="703"/>
      <c r="P12" s="703"/>
      <c r="Q12" s="703"/>
      <c r="R12" s="703"/>
      <c r="S12" s="584"/>
      <c r="T12" s="584"/>
      <c r="U12" s="584"/>
      <c r="V12" s="584"/>
      <c r="W12" s="584"/>
      <c r="X12" s="115"/>
      <c r="Y12" s="703" t="s">
        <v>34</v>
      </c>
      <c r="Z12" s="703"/>
      <c r="AA12" s="703"/>
      <c r="AB12" s="703"/>
      <c r="AC12" s="703"/>
      <c r="AD12" s="703"/>
      <c r="AE12" s="703"/>
      <c r="AF12" s="703"/>
      <c r="AG12" s="703"/>
      <c r="AH12" s="703"/>
      <c r="AI12" s="703"/>
      <c r="AJ12" s="703"/>
      <c r="AK12" s="703"/>
      <c r="AL12" s="703"/>
      <c r="AM12" s="703"/>
      <c r="AN12" s="703"/>
      <c r="AO12" s="585"/>
      <c r="AP12" s="585"/>
      <c r="AQ12" s="585"/>
      <c r="AR12" s="585"/>
      <c r="AS12" s="585"/>
      <c r="AT12"/>
      <c r="AU12"/>
      <c r="AV12"/>
      <c r="AW12"/>
      <c r="AX12"/>
      <c r="AY12"/>
      <c r="AZ12"/>
      <c r="BA12"/>
      <c r="BB12"/>
      <c r="BC12"/>
      <c r="BD12"/>
    </row>
    <row r="13" spans="1:56" ht="15.75" customHeight="1">
      <c r="A13" s="30" t="s">
        <v>8</v>
      </c>
      <c r="B13" s="29"/>
      <c r="C13" s="109">
        <v>2699</v>
      </c>
      <c r="D13" s="109">
        <v>4479</v>
      </c>
      <c r="E13" s="109">
        <v>3312</v>
      </c>
      <c r="F13" s="109">
        <v>4734</v>
      </c>
      <c r="G13" s="109">
        <v>4311</v>
      </c>
      <c r="H13" s="109">
        <v>4701</v>
      </c>
      <c r="I13" s="109">
        <v>6584</v>
      </c>
      <c r="J13" s="109">
        <v>4922</v>
      </c>
      <c r="K13" s="109">
        <v>5343</v>
      </c>
      <c r="L13" s="109">
        <v>7422</v>
      </c>
      <c r="M13" s="109">
        <v>7687</v>
      </c>
      <c r="N13" s="109">
        <v>6987</v>
      </c>
      <c r="O13" s="109">
        <v>7902</v>
      </c>
      <c r="P13" s="109">
        <v>7718</v>
      </c>
      <c r="Q13" s="109">
        <v>8832</v>
      </c>
      <c r="R13" s="109">
        <v>10716</v>
      </c>
      <c r="S13" s="443">
        <v>19129</v>
      </c>
      <c r="T13" s="450">
        <v>9956</v>
      </c>
      <c r="U13" s="450">
        <v>11126</v>
      </c>
      <c r="V13" s="450">
        <v>9821</v>
      </c>
      <c r="W13" s="450">
        <v>9208</v>
      </c>
      <c r="X13" s="109"/>
      <c r="Y13" s="112">
        <v>0.8</v>
      </c>
      <c r="Z13" s="112">
        <v>1.3</v>
      </c>
      <c r="AA13" s="112">
        <v>0.9</v>
      </c>
      <c r="AB13" s="112">
        <v>1.2</v>
      </c>
      <c r="AC13" s="112">
        <v>1</v>
      </c>
      <c r="AD13" s="112">
        <v>1.0127781100323847</v>
      </c>
      <c r="AE13" s="112">
        <v>1.3359581746071363</v>
      </c>
      <c r="AF13" s="112">
        <v>0.93423937976527094</v>
      </c>
      <c r="AG13" s="112">
        <v>0.97468518380012303</v>
      </c>
      <c r="AH13" s="112">
        <v>1.2957707627536614</v>
      </c>
      <c r="AI13" s="112">
        <v>1.2891013000184972</v>
      </c>
      <c r="AJ13" s="112">
        <v>1.1000000000000001</v>
      </c>
      <c r="AK13" s="111">
        <v>1.196395189528408</v>
      </c>
      <c r="AL13" s="111">
        <v>1.0996386921793861</v>
      </c>
      <c r="AM13" s="111">
        <v>1.1892213885344622</v>
      </c>
      <c r="AN13" s="111">
        <v>1.3772502573990251</v>
      </c>
      <c r="AO13" s="585"/>
      <c r="AP13" s="585"/>
      <c r="AQ13" s="585"/>
      <c r="AR13" s="585"/>
      <c r="AS13" s="585"/>
    </row>
    <row r="14" spans="1:56" ht="15.75" customHeight="1">
      <c r="A14" s="696" t="s">
        <v>82</v>
      </c>
      <c r="B14" s="696"/>
      <c r="C14" s="109">
        <v>289</v>
      </c>
      <c r="D14" s="109">
        <v>423</v>
      </c>
      <c r="E14" s="109">
        <v>421</v>
      </c>
      <c r="F14" s="109">
        <v>635</v>
      </c>
      <c r="G14" s="109">
        <v>748</v>
      </c>
      <c r="H14" s="109">
        <v>900</v>
      </c>
      <c r="I14" s="64">
        <v>1259</v>
      </c>
      <c r="J14" s="64">
        <v>1580</v>
      </c>
      <c r="K14" s="64">
        <v>1582</v>
      </c>
      <c r="L14" s="64">
        <v>1867</v>
      </c>
      <c r="M14" s="69" t="s">
        <v>34</v>
      </c>
      <c r="N14" s="109">
        <v>2437</v>
      </c>
      <c r="O14" s="109">
        <v>2715</v>
      </c>
      <c r="P14" s="109">
        <v>2865</v>
      </c>
      <c r="Q14" s="109">
        <v>19052</v>
      </c>
      <c r="R14" s="109">
        <v>17704</v>
      </c>
      <c r="S14" s="109">
        <v>2696</v>
      </c>
      <c r="T14" s="450">
        <v>2311</v>
      </c>
      <c r="U14" s="450">
        <v>28161</v>
      </c>
      <c r="V14" s="450">
        <v>8225</v>
      </c>
      <c r="W14" s="450">
        <v>10142</v>
      </c>
      <c r="X14" s="109"/>
      <c r="Y14" s="112"/>
      <c r="Z14" s="112">
        <v>0.4</v>
      </c>
      <c r="AA14" s="112">
        <v>0.3</v>
      </c>
      <c r="AB14" s="112">
        <v>0.4</v>
      </c>
      <c r="AC14" s="112">
        <v>0.4</v>
      </c>
      <c r="AD14" s="113">
        <v>0.41001399970023422</v>
      </c>
      <c r="AE14" s="116">
        <v>0.53111874954650307</v>
      </c>
      <c r="AF14" s="116">
        <v>0.62540324655533397</v>
      </c>
      <c r="AG14" s="116">
        <v>0.58845388020611511</v>
      </c>
      <c r="AH14" s="116">
        <v>0.65151967749950446</v>
      </c>
      <c r="AI14" s="64" t="s">
        <v>34</v>
      </c>
      <c r="AJ14" s="112">
        <v>0.7</v>
      </c>
      <c r="AK14" s="112">
        <v>0.78036257110928176</v>
      </c>
      <c r="AL14" s="112">
        <v>0.77572125154027372</v>
      </c>
      <c r="AM14" s="112">
        <v>4.9852681818895457</v>
      </c>
      <c r="AN14" s="112">
        <v>4.3605943551189821</v>
      </c>
    </row>
    <row r="15" spans="1:56" ht="15.75" customHeight="1">
      <c r="A15" s="30" t="s">
        <v>9</v>
      </c>
      <c r="B15" s="29"/>
      <c r="C15" s="109">
        <v>443</v>
      </c>
      <c r="D15" s="109">
        <v>507</v>
      </c>
      <c r="E15" s="109">
        <v>475</v>
      </c>
      <c r="F15" s="109">
        <v>548</v>
      </c>
      <c r="G15" s="109">
        <v>650</v>
      </c>
      <c r="H15" s="109">
        <v>601</v>
      </c>
      <c r="I15" s="109"/>
      <c r="J15" s="109">
        <v>966</v>
      </c>
      <c r="K15" s="109">
        <v>919</v>
      </c>
      <c r="L15" s="109">
        <v>934</v>
      </c>
      <c r="M15" s="117">
        <v>1877</v>
      </c>
      <c r="N15" s="69">
        <v>1421</v>
      </c>
      <c r="O15" s="109">
        <v>1176</v>
      </c>
      <c r="P15" s="109">
        <v>1485</v>
      </c>
      <c r="Q15" s="109">
        <v>1420</v>
      </c>
      <c r="R15" s="446">
        <v>930</v>
      </c>
      <c r="S15" s="446">
        <v>1563</v>
      </c>
      <c r="T15" s="450">
        <v>1462</v>
      </c>
      <c r="U15" s="450">
        <v>501.96896594624923</v>
      </c>
      <c r="V15" s="450">
        <v>2462</v>
      </c>
      <c r="W15" s="450">
        <v>1408</v>
      </c>
      <c r="X15" s="109"/>
      <c r="Y15" s="112">
        <v>0.7</v>
      </c>
      <c r="Z15" s="112">
        <v>0.8</v>
      </c>
      <c r="AA15" s="112">
        <v>0.7</v>
      </c>
      <c r="AB15" s="112">
        <v>0.7</v>
      </c>
      <c r="AC15" s="112">
        <v>0.8</v>
      </c>
      <c r="AD15" s="113">
        <v>0.60212718208486282</v>
      </c>
      <c r="AF15" s="113">
        <v>0.1</v>
      </c>
      <c r="AG15" s="29">
        <v>0.1</v>
      </c>
      <c r="AH15" s="29">
        <v>0.1</v>
      </c>
      <c r="AI15" s="118">
        <v>0.17278836417195986</v>
      </c>
      <c r="AJ15" s="119">
        <v>0.1</v>
      </c>
      <c r="AK15" s="119">
        <v>0.12435145499661629</v>
      </c>
      <c r="AL15" s="119">
        <v>1.0490829531437873</v>
      </c>
      <c r="AM15" s="119">
        <v>1.42</v>
      </c>
      <c r="AN15" s="447">
        <v>0.93</v>
      </c>
      <c r="AO15" s="501">
        <v>1.5629999999999999</v>
      </c>
      <c r="AP15" s="501">
        <v>1.462</v>
      </c>
      <c r="AQ15" s="501">
        <v>0.50196896594624918</v>
      </c>
      <c r="AR15" s="501">
        <v>2.4620000000000002</v>
      </c>
      <c r="AS15" s="501">
        <v>1.4079999999999999</v>
      </c>
    </row>
    <row r="16" spans="1:56" ht="8.1" customHeight="1">
      <c r="A16" s="29"/>
      <c r="B16" s="29"/>
      <c r="C16" s="29"/>
      <c r="D16" s="29"/>
      <c r="E16" s="29"/>
      <c r="F16" s="29"/>
      <c r="G16" s="29"/>
      <c r="H16" s="29"/>
      <c r="I16" s="29"/>
      <c r="J16" s="29"/>
      <c r="K16" s="29"/>
      <c r="L16" s="29"/>
      <c r="M16" s="29"/>
      <c r="N16" s="29"/>
      <c r="O16" s="109"/>
      <c r="P16" s="109"/>
      <c r="Q16" s="109"/>
      <c r="R16" s="109"/>
      <c r="S16" s="109"/>
      <c r="T16" s="109"/>
      <c r="U16" s="109"/>
      <c r="V16" s="109"/>
      <c r="W16" s="109"/>
      <c r="X16" s="29"/>
      <c r="Y16" s="29"/>
      <c r="Z16" s="29"/>
      <c r="AA16" s="29"/>
      <c r="AB16" s="29"/>
      <c r="AC16" s="29"/>
      <c r="AD16" s="29"/>
    </row>
    <row r="17" spans="1:45" ht="18.75" customHeight="1">
      <c r="A17" s="37" t="s">
        <v>10</v>
      </c>
      <c r="B17" s="95"/>
      <c r="C17" s="96">
        <v>26517</v>
      </c>
      <c r="D17" s="96">
        <v>45481</v>
      </c>
      <c r="E17" s="96">
        <v>36001</v>
      </c>
      <c r="F17" s="96">
        <v>22853</v>
      </c>
      <c r="G17" s="96">
        <v>25167</v>
      </c>
      <c r="H17" s="96">
        <f>+SUM(H8:H9)+H11+SUM(H13:H15)</f>
        <v>23612</v>
      </c>
      <c r="I17" s="96">
        <f>+SUM(I8:I9)+I11+SUM(I13:I15)</f>
        <v>24044</v>
      </c>
      <c r="J17" s="96">
        <f>+SUM(J8:J9)+J11+SUM(J13:J15)</f>
        <v>24832</v>
      </c>
      <c r="K17" s="96">
        <f>+SUM(K8:K9)+K11+SUM(K13:K15)</f>
        <v>26974</v>
      </c>
      <c r="L17" s="96">
        <f>+SUM(L8:L9)+L11+SUM(L13:L15)</f>
        <v>29667</v>
      </c>
      <c r="M17" s="96">
        <f>+M15+M13+M11+M9+M8</f>
        <v>30629</v>
      </c>
      <c r="N17" s="96">
        <f>+SUM(N8:N9)+N11+SUM(N13:N15)</f>
        <v>35125</v>
      </c>
      <c r="O17" s="96">
        <f>+SUM(O8:O9)+O11+SUM(O13:O15)</f>
        <v>33673</v>
      </c>
      <c r="P17" s="96">
        <f>+SUM(P8:P9)+P11+SUM(P13:P15)</f>
        <v>27727</v>
      </c>
      <c r="Q17" s="96"/>
      <c r="R17" s="96"/>
      <c r="S17" s="96"/>
      <c r="T17" s="96"/>
      <c r="U17" s="96"/>
      <c r="V17" s="96"/>
      <c r="W17" s="96"/>
      <c r="X17" s="15"/>
      <c r="Y17" s="95"/>
      <c r="Z17" s="95"/>
      <c r="AA17" s="95"/>
      <c r="AB17" s="95"/>
      <c r="AC17" s="95"/>
      <c r="AD17" s="120"/>
      <c r="AE17" s="120"/>
      <c r="AF17" s="120"/>
      <c r="AG17" s="120"/>
      <c r="AH17" s="120"/>
      <c r="AI17" s="120"/>
      <c r="AJ17" s="120"/>
      <c r="AK17" s="120"/>
      <c r="AL17" s="120"/>
      <c r="AM17" s="120"/>
      <c r="AN17" s="120"/>
      <c r="AO17" s="120"/>
      <c r="AP17" s="120"/>
      <c r="AQ17" s="120"/>
      <c r="AR17" s="120"/>
      <c r="AS17" s="120"/>
    </row>
    <row r="18" spans="1:45" ht="14.1" customHeight="1">
      <c r="A18" s="12"/>
      <c r="B18" s="99"/>
      <c r="C18" s="121"/>
      <c r="D18" s="121"/>
      <c r="E18" s="121"/>
      <c r="F18" s="121"/>
      <c r="G18" s="121"/>
      <c r="H18" s="121"/>
      <c r="I18" s="121"/>
      <c r="J18" s="121"/>
      <c r="K18" s="121"/>
      <c r="L18" s="121"/>
      <c r="M18" s="121"/>
      <c r="N18" s="121"/>
      <c r="O18" s="121"/>
      <c r="P18" s="121"/>
      <c r="Q18" s="121"/>
      <c r="R18" s="121"/>
      <c r="S18" s="121"/>
      <c r="T18" s="121"/>
      <c r="U18" s="121"/>
      <c r="V18" s="121"/>
      <c r="W18" s="121"/>
      <c r="X18" s="99"/>
      <c r="Y18" s="122"/>
      <c r="Z18" s="122"/>
      <c r="AA18" s="122"/>
      <c r="AB18" s="122"/>
      <c r="AC18" s="122"/>
    </row>
    <row r="19" spans="1:45">
      <c r="A19" s="88" t="s">
        <v>395</v>
      </c>
      <c r="G19" s="123"/>
    </row>
  </sheetData>
  <mergeCells count="8">
    <mergeCell ref="C10:R10"/>
    <mergeCell ref="Y10:AN10"/>
    <mergeCell ref="A14:B14"/>
    <mergeCell ref="A3:A4"/>
    <mergeCell ref="C12:R12"/>
    <mergeCell ref="Y12:AN12"/>
    <mergeCell ref="Y3:AS3"/>
    <mergeCell ref="C3:W3"/>
  </mergeCells>
  <phoneticPr fontId="9" type="noConversion"/>
  <printOptions horizontalCentered="1"/>
  <pageMargins left="0.25" right="0.25" top="0.75" bottom="0.75" header="0.3" footer="0.3"/>
  <pageSetup scale="74" orientation="landscape" r:id="rId1"/>
  <headerFooter alignWithMargins="0">
    <oddHeader>&amp;A</oddHeader>
    <oddFooter>&amp;L&amp;F&amp;R&amp;D</oddFooter>
  </headerFooter>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X24"/>
  <sheetViews>
    <sheetView showGridLines="0" showZeros="0" zoomScale="90" zoomScaleNormal="90" workbookViewId="0"/>
  </sheetViews>
  <sheetFormatPr baseColWidth="10" defaultRowHeight="15"/>
  <cols>
    <col min="1" max="1" width="12.625" style="13" customWidth="1"/>
    <col min="2" max="7" width="11.125" style="13" bestFit="1" customWidth="1"/>
    <col min="8" max="16384" width="11" style="13"/>
  </cols>
  <sheetData>
    <row r="1" spans="1:24" ht="15.75" customHeight="1">
      <c r="A1" s="10" t="s">
        <v>310</v>
      </c>
      <c r="B1" s="75"/>
      <c r="C1" s="75"/>
      <c r="D1" s="75"/>
      <c r="E1" s="75"/>
      <c r="F1" s="75"/>
      <c r="G1" s="75"/>
    </row>
    <row r="2" spans="1:24" ht="15.75" customHeight="1">
      <c r="A2" s="12" t="s">
        <v>36</v>
      </c>
      <c r="B2" s="75"/>
      <c r="C2" s="11"/>
      <c r="D2" s="75"/>
      <c r="E2" s="75"/>
      <c r="F2" s="75"/>
      <c r="G2" s="75"/>
    </row>
    <row r="3" spans="1:24" ht="9" customHeight="1">
      <c r="A3" s="12"/>
      <c r="B3" s="75"/>
      <c r="C3" s="75"/>
      <c r="D3" s="75"/>
      <c r="E3" s="75"/>
      <c r="F3" s="75"/>
      <c r="G3" s="75"/>
    </row>
    <row r="4" spans="1:24" s="76" customFormat="1" ht="30" customHeight="1">
      <c r="A4" s="27" t="s">
        <v>0</v>
      </c>
      <c r="B4" s="502">
        <v>2003</v>
      </c>
      <c r="C4" s="502">
        <v>2004</v>
      </c>
      <c r="D4" s="502">
        <v>2005</v>
      </c>
      <c r="E4" s="502">
        <v>2006</v>
      </c>
      <c r="F4" s="502">
        <v>2007</v>
      </c>
      <c r="G4" s="502">
        <v>2008</v>
      </c>
      <c r="H4" s="502">
        <v>2009</v>
      </c>
      <c r="I4" s="502">
        <v>2010</v>
      </c>
      <c r="J4" s="502">
        <v>2011</v>
      </c>
      <c r="K4" s="502">
        <v>2012</v>
      </c>
      <c r="L4" s="502">
        <v>2013</v>
      </c>
      <c r="M4" s="502">
        <v>2014</v>
      </c>
      <c r="N4" s="502">
        <v>2015</v>
      </c>
      <c r="O4" s="502">
        <v>2016</v>
      </c>
      <c r="P4" s="502">
        <v>2017</v>
      </c>
      <c r="Q4" s="502">
        <v>2018</v>
      </c>
      <c r="R4" s="502">
        <v>2019</v>
      </c>
      <c r="S4" s="502">
        <v>2020</v>
      </c>
      <c r="T4" s="502">
        <v>2021</v>
      </c>
      <c r="U4" s="502">
        <v>2022</v>
      </c>
      <c r="V4" s="502">
        <v>2023</v>
      </c>
      <c r="W4" s="502">
        <v>2024</v>
      </c>
      <c r="X4" s="502">
        <v>2025</v>
      </c>
    </row>
    <row r="5" spans="1:24" s="76" customFormat="1" ht="5.0999999999999996" customHeight="1">
      <c r="A5" s="18"/>
      <c r="B5" s="18"/>
      <c r="C5" s="18"/>
      <c r="D5" s="18"/>
      <c r="E5" s="18"/>
      <c r="F5" s="18"/>
      <c r="G5" s="18"/>
    </row>
    <row r="6" spans="1:24" ht="15.75" hidden="1" customHeight="1">
      <c r="A6" s="9" t="s">
        <v>2</v>
      </c>
      <c r="B6" s="124">
        <v>364384</v>
      </c>
      <c r="C6" s="124">
        <v>710590</v>
      </c>
      <c r="D6" s="124">
        <v>243326</v>
      </c>
      <c r="E6" s="124">
        <v>431543</v>
      </c>
      <c r="F6" s="124">
        <v>423687</v>
      </c>
      <c r="G6" s="110">
        <v>0</v>
      </c>
      <c r="H6" s="110"/>
      <c r="I6" s="110"/>
      <c r="J6" s="110"/>
      <c r="K6" s="110"/>
      <c r="L6" s="110"/>
      <c r="M6" s="110"/>
      <c r="N6" s="110"/>
    </row>
    <row r="7" spans="1:24" ht="15.75" hidden="1" customHeight="1">
      <c r="A7" s="9" t="s">
        <v>3</v>
      </c>
      <c r="B7" s="124">
        <v>2930</v>
      </c>
      <c r="C7" s="124">
        <v>3447</v>
      </c>
      <c r="D7" s="124">
        <v>4013</v>
      </c>
      <c r="E7" s="124">
        <v>4174</v>
      </c>
      <c r="F7" s="124">
        <v>4890</v>
      </c>
      <c r="G7" s="124">
        <v>5164</v>
      </c>
      <c r="H7" s="124">
        <v>4098</v>
      </c>
      <c r="I7" s="110"/>
      <c r="J7" s="110"/>
      <c r="K7" s="110"/>
      <c r="L7" s="110"/>
      <c r="M7" s="110"/>
      <c r="N7" s="110"/>
    </row>
    <row r="8" spans="1:24" ht="15.75" customHeight="1">
      <c r="A8" s="9" t="s">
        <v>4</v>
      </c>
      <c r="B8" s="393">
        <v>274751</v>
      </c>
      <c r="C8" s="393">
        <v>211472</v>
      </c>
      <c r="D8" s="393">
        <v>234593</v>
      </c>
      <c r="E8" s="393">
        <v>234536</v>
      </c>
      <c r="F8" s="393">
        <v>338310</v>
      </c>
      <c r="G8" s="393">
        <v>363018</v>
      </c>
      <c r="H8" s="393">
        <v>301439</v>
      </c>
      <c r="I8" s="393">
        <v>258179</v>
      </c>
      <c r="J8" s="396">
        <v>278337</v>
      </c>
      <c r="K8" s="396">
        <v>348956</v>
      </c>
      <c r="L8" s="396">
        <v>465370</v>
      </c>
      <c r="M8" s="396">
        <v>439106</v>
      </c>
      <c r="N8" s="396">
        <v>502989</v>
      </c>
      <c r="O8" s="396">
        <v>625721</v>
      </c>
      <c r="P8" s="396">
        <v>590586</v>
      </c>
      <c r="Q8" s="73">
        <v>651605</v>
      </c>
      <c r="R8" s="73">
        <v>591287</v>
      </c>
      <c r="S8" s="73">
        <v>487770</v>
      </c>
      <c r="T8" s="73">
        <v>593725</v>
      </c>
      <c r="U8" s="73">
        <v>453446</v>
      </c>
      <c r="V8" s="73">
        <v>542148</v>
      </c>
      <c r="W8" s="73">
        <v>565651</v>
      </c>
      <c r="X8" s="73">
        <v>563736</v>
      </c>
    </row>
    <row r="9" spans="1:24" ht="15.75" customHeight="1">
      <c r="A9" s="9" t="s">
        <v>5</v>
      </c>
      <c r="B9" s="393">
        <v>122949</v>
      </c>
      <c r="C9" s="393">
        <v>79617</v>
      </c>
      <c r="D9" s="393">
        <v>72724</v>
      </c>
      <c r="E9" s="393">
        <v>66488</v>
      </c>
      <c r="F9" s="393">
        <v>77125</v>
      </c>
      <c r="G9" s="393">
        <v>97242</v>
      </c>
      <c r="H9" s="393">
        <v>97936</v>
      </c>
      <c r="I9" s="393">
        <v>116145</v>
      </c>
      <c r="J9" s="396">
        <v>115062</v>
      </c>
      <c r="K9" s="396">
        <v>97226</v>
      </c>
      <c r="L9" s="396">
        <v>160147</v>
      </c>
      <c r="M9" s="396">
        <v>82186</v>
      </c>
      <c r="N9" s="396">
        <v>87957</v>
      </c>
      <c r="O9" s="396">
        <v>124799</v>
      </c>
      <c r="P9" s="396">
        <v>125429</v>
      </c>
      <c r="Q9" s="393" t="s">
        <v>149</v>
      </c>
      <c r="R9" s="393" t="s">
        <v>149</v>
      </c>
      <c r="S9" s="393" t="s">
        <v>149</v>
      </c>
      <c r="T9" s="73">
        <v>391903</v>
      </c>
      <c r="U9" s="73">
        <v>394411</v>
      </c>
      <c r="V9" s="73">
        <v>157022</v>
      </c>
      <c r="W9" s="73">
        <v>118429</v>
      </c>
      <c r="X9" s="73">
        <v>119184</v>
      </c>
    </row>
    <row r="10" spans="1:24" ht="15.75" customHeight="1">
      <c r="A10" s="9" t="s">
        <v>50</v>
      </c>
      <c r="B10" s="393">
        <v>74842</v>
      </c>
      <c r="C10" s="393">
        <v>73661</v>
      </c>
      <c r="D10" s="393">
        <v>97270</v>
      </c>
      <c r="E10" s="393">
        <v>98846</v>
      </c>
      <c r="F10" s="393">
        <v>178091</v>
      </c>
      <c r="G10" s="393">
        <v>197319</v>
      </c>
      <c r="H10" s="393">
        <v>223284</v>
      </c>
      <c r="I10" s="67">
        <v>208419</v>
      </c>
      <c r="J10" s="67">
        <v>199128</v>
      </c>
      <c r="K10" s="397">
        <v>197340</v>
      </c>
      <c r="L10" s="397">
        <v>17924</v>
      </c>
      <c r="M10" s="397">
        <v>44140</v>
      </c>
      <c r="N10" s="398">
        <v>33658</v>
      </c>
      <c r="O10" s="67">
        <v>43234</v>
      </c>
      <c r="P10" s="67">
        <v>51041</v>
      </c>
      <c r="Q10" s="73">
        <v>54036</v>
      </c>
      <c r="R10" s="73">
        <v>91609</v>
      </c>
      <c r="S10" s="73">
        <v>68173</v>
      </c>
      <c r="T10" s="73">
        <v>145049</v>
      </c>
      <c r="U10" s="73">
        <v>211287</v>
      </c>
      <c r="V10" s="73">
        <v>228296</v>
      </c>
      <c r="W10" s="73">
        <v>237556</v>
      </c>
      <c r="X10" s="73">
        <v>277939</v>
      </c>
    </row>
    <row r="11" spans="1:24" ht="15.75" customHeight="1">
      <c r="A11" s="9" t="s">
        <v>6</v>
      </c>
      <c r="B11" s="393">
        <v>53361</v>
      </c>
      <c r="C11" s="393">
        <v>36700</v>
      </c>
      <c r="D11" s="393">
        <v>67652</v>
      </c>
      <c r="E11" s="393">
        <v>10118</v>
      </c>
      <c r="F11" s="393">
        <v>6004</v>
      </c>
      <c r="G11" s="393">
        <v>3796</v>
      </c>
      <c r="H11" s="393">
        <v>4653</v>
      </c>
      <c r="I11" s="393">
        <v>4764</v>
      </c>
      <c r="J11" s="393">
        <v>4628</v>
      </c>
      <c r="K11" s="393">
        <v>2378</v>
      </c>
      <c r="L11" s="393">
        <v>404</v>
      </c>
      <c r="M11" s="393">
        <v>481</v>
      </c>
      <c r="N11" s="433">
        <v>744</v>
      </c>
      <c r="O11" s="393">
        <v>587</v>
      </c>
      <c r="P11" s="393">
        <v>863</v>
      </c>
      <c r="Q11" s="393">
        <v>1466</v>
      </c>
      <c r="R11" s="396">
        <v>1688</v>
      </c>
      <c r="S11" s="396">
        <v>706</v>
      </c>
      <c r="T11" s="396">
        <v>1637</v>
      </c>
      <c r="U11" s="393" t="s">
        <v>149</v>
      </c>
      <c r="V11" s="393" t="s">
        <v>149</v>
      </c>
      <c r="W11" s="393" t="s">
        <v>149</v>
      </c>
      <c r="X11" s="393" t="s">
        <v>149</v>
      </c>
    </row>
    <row r="12" spans="1:24" ht="15.75" customHeight="1">
      <c r="A12" s="9" t="s">
        <v>7</v>
      </c>
      <c r="B12" s="393">
        <v>430617</v>
      </c>
      <c r="C12" s="393">
        <v>1204776</v>
      </c>
      <c r="D12" s="393">
        <v>2437961</v>
      </c>
      <c r="E12" s="393">
        <v>3849333</v>
      </c>
      <c r="F12" s="393">
        <v>3503750</v>
      </c>
      <c r="G12" s="393">
        <v>3560343</v>
      </c>
      <c r="H12" s="393">
        <v>2597918</v>
      </c>
      <c r="I12" s="393">
        <v>1856306</v>
      </c>
      <c r="J12" s="396">
        <v>1799758</v>
      </c>
      <c r="K12" s="396">
        <v>1788883</v>
      </c>
      <c r="L12" s="396">
        <v>2128947</v>
      </c>
      <c r="M12" s="396">
        <v>2436697</v>
      </c>
      <c r="N12" s="399">
        <v>1981128</v>
      </c>
      <c r="O12" s="396">
        <v>1555792</v>
      </c>
      <c r="P12" s="396">
        <v>1892551</v>
      </c>
      <c r="Q12" s="396">
        <v>2437301</v>
      </c>
      <c r="R12" s="396">
        <v>3095042</v>
      </c>
      <c r="S12" s="396">
        <v>2820428</v>
      </c>
      <c r="T12" s="396">
        <v>3676373</v>
      </c>
      <c r="U12" s="396">
        <v>3098124</v>
      </c>
      <c r="V12" s="396">
        <v>1972281</v>
      </c>
      <c r="W12" s="396">
        <v>1663323</v>
      </c>
      <c r="X12" s="396">
        <v>2124456</v>
      </c>
    </row>
    <row r="13" spans="1:24" ht="15.75" customHeight="1">
      <c r="A13" s="9" t="s">
        <v>369</v>
      </c>
      <c r="B13" s="393" t="s">
        <v>149</v>
      </c>
      <c r="C13" s="393" t="s">
        <v>149</v>
      </c>
      <c r="D13" s="393" t="s">
        <v>149</v>
      </c>
      <c r="E13" s="393" t="s">
        <v>149</v>
      </c>
      <c r="F13" s="393" t="s">
        <v>149</v>
      </c>
      <c r="G13" s="393" t="s">
        <v>149</v>
      </c>
      <c r="H13" s="393">
        <v>139</v>
      </c>
      <c r="I13" s="393" t="s">
        <v>149</v>
      </c>
      <c r="J13" s="393" t="s">
        <v>149</v>
      </c>
      <c r="K13" s="393" t="s">
        <v>149</v>
      </c>
      <c r="L13" s="393" t="s">
        <v>149</v>
      </c>
      <c r="M13" s="396">
        <v>1697</v>
      </c>
      <c r="N13" s="396">
        <v>935</v>
      </c>
      <c r="O13" s="396">
        <v>314</v>
      </c>
      <c r="P13" s="396">
        <v>692</v>
      </c>
      <c r="Q13" s="396">
        <v>315</v>
      </c>
      <c r="R13" s="396">
        <v>1003</v>
      </c>
      <c r="S13" s="396">
        <v>3795</v>
      </c>
      <c r="T13" s="396">
        <v>562</v>
      </c>
      <c r="U13" s="396">
        <v>545</v>
      </c>
      <c r="V13" s="396">
        <v>1189</v>
      </c>
      <c r="W13" s="396">
        <v>2371</v>
      </c>
      <c r="X13" s="396">
        <v>543</v>
      </c>
    </row>
    <row r="14" spans="1:24" ht="15.75" customHeight="1">
      <c r="A14" s="9" t="s">
        <v>363</v>
      </c>
      <c r="B14" s="393" t="s">
        <v>149</v>
      </c>
      <c r="C14" s="393" t="s">
        <v>149</v>
      </c>
      <c r="D14" s="393" t="s">
        <v>149</v>
      </c>
      <c r="E14" s="393" t="s">
        <v>149</v>
      </c>
      <c r="F14" s="393" t="s">
        <v>149</v>
      </c>
      <c r="G14" s="393" t="s">
        <v>149</v>
      </c>
      <c r="H14" s="393" t="s">
        <v>149</v>
      </c>
      <c r="I14" s="393" t="s">
        <v>149</v>
      </c>
      <c r="J14" s="393" t="s">
        <v>149</v>
      </c>
      <c r="K14" s="393" t="s">
        <v>149</v>
      </c>
      <c r="L14" s="393" t="s">
        <v>149</v>
      </c>
      <c r="M14" s="393" t="s">
        <v>149</v>
      </c>
      <c r="N14" s="393" t="s">
        <v>149</v>
      </c>
      <c r="O14" s="393" t="s">
        <v>149</v>
      </c>
      <c r="P14" s="393" t="s">
        <v>149</v>
      </c>
      <c r="Q14" s="393" t="s">
        <v>149</v>
      </c>
      <c r="R14" s="393" t="s">
        <v>149</v>
      </c>
      <c r="S14" s="393" t="s">
        <v>149</v>
      </c>
      <c r="T14" s="393" t="s">
        <v>149</v>
      </c>
      <c r="U14" s="393" t="s">
        <v>149</v>
      </c>
      <c r="V14" s="393" t="s">
        <v>149</v>
      </c>
      <c r="W14" s="393" t="s">
        <v>149</v>
      </c>
      <c r="X14" s="393" t="s">
        <v>149</v>
      </c>
    </row>
    <row r="15" spans="1:24" ht="15.75" customHeight="1">
      <c r="A15" s="9" t="s">
        <v>8</v>
      </c>
      <c r="B15" s="393">
        <v>9037</v>
      </c>
      <c r="C15" s="393">
        <v>9845</v>
      </c>
      <c r="D15" s="393">
        <v>129398</v>
      </c>
      <c r="E15" s="393">
        <v>642966</v>
      </c>
      <c r="F15" s="393">
        <v>504932</v>
      </c>
      <c r="G15" s="393">
        <v>282869</v>
      </c>
      <c r="H15" s="393">
        <v>89886</v>
      </c>
      <c r="I15" s="393">
        <v>41903</v>
      </c>
      <c r="J15" s="393">
        <v>32036</v>
      </c>
      <c r="K15" s="393">
        <v>24978</v>
      </c>
      <c r="L15" s="393">
        <v>35466</v>
      </c>
      <c r="M15" s="393">
        <v>23372</v>
      </c>
      <c r="N15" s="393">
        <v>25934</v>
      </c>
      <c r="O15" s="393">
        <v>45762</v>
      </c>
      <c r="P15" s="393">
        <v>53549</v>
      </c>
      <c r="Q15" s="393">
        <v>74042</v>
      </c>
      <c r="R15" s="393">
        <v>116854</v>
      </c>
      <c r="S15" s="393">
        <v>66066</v>
      </c>
      <c r="T15" s="393">
        <v>57929</v>
      </c>
      <c r="U15" s="393">
        <v>58961</v>
      </c>
      <c r="V15" s="393">
        <v>58386</v>
      </c>
      <c r="W15" s="393">
        <v>72140</v>
      </c>
      <c r="X15" s="393">
        <v>103367</v>
      </c>
    </row>
    <row r="16" spans="1:24" ht="15.75" customHeight="1">
      <c r="A16" s="9" t="s">
        <v>82</v>
      </c>
      <c r="B16" s="393" t="s">
        <v>149</v>
      </c>
      <c r="C16" s="393">
        <v>1348</v>
      </c>
      <c r="D16" s="393">
        <v>733</v>
      </c>
      <c r="E16" s="393">
        <v>861</v>
      </c>
      <c r="F16" s="393">
        <v>1145</v>
      </c>
      <c r="G16" s="393">
        <v>962</v>
      </c>
      <c r="H16" s="393">
        <v>1459</v>
      </c>
      <c r="I16" s="393">
        <v>3171</v>
      </c>
      <c r="J16" s="393">
        <v>4227</v>
      </c>
      <c r="K16" s="393">
        <v>6552</v>
      </c>
      <c r="L16" s="393">
        <v>11920</v>
      </c>
      <c r="M16" s="393">
        <v>24824</v>
      </c>
      <c r="N16" s="393">
        <v>36572</v>
      </c>
      <c r="O16" s="393">
        <v>62093</v>
      </c>
      <c r="P16" s="393">
        <v>73537</v>
      </c>
      <c r="Q16" s="393">
        <v>80331</v>
      </c>
      <c r="R16" s="73">
        <v>83074</v>
      </c>
      <c r="S16" s="73">
        <v>22932</v>
      </c>
      <c r="T16" s="73">
        <v>35317</v>
      </c>
      <c r="U16" s="73">
        <v>62389</v>
      </c>
      <c r="V16" s="393">
        <v>81636</v>
      </c>
      <c r="W16" s="393">
        <v>91014</v>
      </c>
      <c r="X16" s="393">
        <v>104343</v>
      </c>
    </row>
    <row r="17" spans="1:24" ht="15.75" customHeight="1">
      <c r="A17" s="9" t="s">
        <v>9</v>
      </c>
      <c r="B17" s="393">
        <v>529</v>
      </c>
      <c r="C17" s="393">
        <v>322</v>
      </c>
      <c r="D17" s="393">
        <v>560</v>
      </c>
      <c r="E17" s="393">
        <v>562</v>
      </c>
      <c r="F17" s="393">
        <v>670</v>
      </c>
      <c r="G17" s="393">
        <v>1015</v>
      </c>
      <c r="H17" s="393">
        <v>1341</v>
      </c>
      <c r="I17" s="393">
        <v>1489</v>
      </c>
      <c r="J17" s="393" t="s">
        <v>149</v>
      </c>
      <c r="K17" s="396">
        <v>2043</v>
      </c>
      <c r="L17" s="393">
        <v>1616</v>
      </c>
      <c r="M17" s="393">
        <v>6301</v>
      </c>
      <c r="N17" s="433">
        <v>4015</v>
      </c>
      <c r="O17" s="393">
        <v>5887</v>
      </c>
      <c r="P17" s="393">
        <v>5403</v>
      </c>
      <c r="Q17" s="393">
        <v>3906</v>
      </c>
      <c r="R17" s="393">
        <v>3623</v>
      </c>
      <c r="S17" s="393">
        <v>2237</v>
      </c>
      <c r="T17" s="393">
        <v>1430</v>
      </c>
      <c r="U17" s="393">
        <v>3162</v>
      </c>
      <c r="V17" s="393">
        <v>4018</v>
      </c>
      <c r="W17" s="393">
        <v>15557</v>
      </c>
      <c r="X17" s="393">
        <v>18034</v>
      </c>
    </row>
    <row r="18" spans="1:24" ht="5.0999999999999996" customHeight="1">
      <c r="A18" s="9"/>
      <c r="B18" s="128"/>
      <c r="C18" s="128"/>
      <c r="D18" s="128"/>
      <c r="E18" s="128"/>
      <c r="F18" s="128"/>
      <c r="G18" s="128"/>
      <c r="R18" s="140"/>
      <c r="W18" s="73"/>
      <c r="X18" s="73"/>
    </row>
    <row r="19" spans="1:24" s="84" customFormat="1" ht="15.75" customHeight="1">
      <c r="A19" s="85" t="s">
        <v>10</v>
      </c>
      <c r="B19" s="503">
        <v>1333400</v>
      </c>
      <c r="C19" s="503">
        <v>2331778</v>
      </c>
      <c r="D19" s="503">
        <v>3288230</v>
      </c>
      <c r="E19" s="503">
        <v>5339427</v>
      </c>
      <c r="F19" s="503">
        <v>5038604</v>
      </c>
      <c r="G19" s="503">
        <v>4511728</v>
      </c>
      <c r="H19" s="503">
        <f t="shared" ref="H19:S19" si="0">SUM(H7:H18)</f>
        <v>3322153</v>
      </c>
      <c r="I19" s="503">
        <f t="shared" si="0"/>
        <v>2490376</v>
      </c>
      <c r="J19" s="503">
        <f t="shared" si="0"/>
        <v>2433176</v>
      </c>
      <c r="K19" s="503">
        <f t="shared" si="0"/>
        <v>2468356</v>
      </c>
      <c r="L19" s="503">
        <f t="shared" si="0"/>
        <v>2821794</v>
      </c>
      <c r="M19" s="503">
        <f t="shared" si="0"/>
        <v>3058804</v>
      </c>
      <c r="N19" s="503">
        <f t="shared" si="0"/>
        <v>2673932</v>
      </c>
      <c r="O19" s="503">
        <f t="shared" si="0"/>
        <v>2464189</v>
      </c>
      <c r="P19" s="503">
        <f t="shared" si="0"/>
        <v>2793651</v>
      </c>
      <c r="Q19" s="503">
        <f t="shared" si="0"/>
        <v>3303002</v>
      </c>
      <c r="R19" s="504">
        <f t="shared" si="0"/>
        <v>3984180</v>
      </c>
      <c r="S19" s="504">
        <f t="shared" si="0"/>
        <v>3472107</v>
      </c>
      <c r="T19" s="504"/>
      <c r="U19" s="504"/>
      <c r="V19" s="504"/>
      <c r="W19" s="504"/>
      <c r="X19" s="504"/>
    </row>
    <row r="20" spans="1:24" ht="6.75" customHeight="1">
      <c r="A20" s="9"/>
      <c r="B20" s="87"/>
      <c r="C20" s="87"/>
      <c r="D20" s="87"/>
      <c r="E20" s="87"/>
      <c r="F20" s="87"/>
      <c r="G20" s="87"/>
      <c r="W20" s="393"/>
    </row>
    <row r="21" spans="1:24" s="29" customFormat="1" ht="13.5" customHeight="1">
      <c r="A21" s="29" t="s">
        <v>84</v>
      </c>
      <c r="W21" s="396"/>
    </row>
    <row r="22" spans="1:24" s="29" customFormat="1" hidden="1">
      <c r="A22" s="29" t="s">
        <v>76</v>
      </c>
    </row>
    <row r="23" spans="1:24" s="29" customFormat="1" hidden="1">
      <c r="A23" s="29" t="s">
        <v>75</v>
      </c>
    </row>
    <row r="24" spans="1:24" ht="18.75" customHeight="1">
      <c r="A24" s="88" t="s">
        <v>395</v>
      </c>
    </row>
  </sheetData>
  <phoneticPr fontId="9" type="noConversion"/>
  <pageMargins left="0.74803149606299213" right="0.74803149606299213" top="0.98425196850393704" bottom="0.98425196850393704" header="0.51181102362204722" footer="0.51181102362204722"/>
  <pageSetup scale="72" orientation="landscape" r:id="rId1"/>
  <headerFooter alignWithMargins="0">
    <oddHeader>&amp;A</oddHeader>
    <oddFooter>&amp;L&amp;F&amp;R&amp;D</oddFooter>
  </headerFooter>
  <ignoredErrors>
    <ignoredError sqref="H19 I19" emptyCellReference="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X22"/>
  <sheetViews>
    <sheetView showGridLines="0" showZeros="0" zoomScale="90" zoomScaleNormal="90" workbookViewId="0"/>
  </sheetViews>
  <sheetFormatPr baseColWidth="10" defaultRowHeight="15"/>
  <cols>
    <col min="1" max="1" width="12.625" style="13" customWidth="1"/>
    <col min="2" max="22" width="8.625" style="13" customWidth="1"/>
    <col min="23" max="16384" width="11" style="13"/>
  </cols>
  <sheetData>
    <row r="1" spans="1:24">
      <c r="A1" s="10" t="s">
        <v>311</v>
      </c>
    </row>
    <row r="2" spans="1:24" ht="15.75" customHeight="1">
      <c r="A2" s="12" t="s">
        <v>168</v>
      </c>
      <c r="B2" s="75"/>
      <c r="C2" s="75"/>
      <c r="D2" s="11"/>
      <c r="E2" s="75"/>
      <c r="G2" s="75"/>
    </row>
    <row r="3" spans="1:24" ht="7.5" customHeight="1">
      <c r="A3" s="12"/>
      <c r="B3" s="75"/>
      <c r="C3" s="75"/>
      <c r="D3" s="75"/>
      <c r="E3" s="75"/>
      <c r="G3" s="75"/>
    </row>
    <row r="4" spans="1:24" s="76" customFormat="1" ht="30" customHeight="1">
      <c r="A4" s="27" t="s">
        <v>0</v>
      </c>
      <c r="B4" s="502">
        <v>2003</v>
      </c>
      <c r="C4" s="502">
        <v>2004</v>
      </c>
      <c r="D4" s="502">
        <v>2005</v>
      </c>
      <c r="E4" s="502">
        <v>2006</v>
      </c>
      <c r="F4" s="502">
        <v>2007</v>
      </c>
      <c r="G4" s="502">
        <v>2008</v>
      </c>
      <c r="H4" s="502">
        <v>2009</v>
      </c>
      <c r="I4" s="502">
        <v>2010</v>
      </c>
      <c r="J4" s="502">
        <v>2011</v>
      </c>
      <c r="K4" s="502">
        <v>2012</v>
      </c>
      <c r="L4" s="502">
        <v>2013</v>
      </c>
      <c r="M4" s="502">
        <v>2014</v>
      </c>
      <c r="N4" s="502">
        <v>2015</v>
      </c>
      <c r="O4" s="502">
        <v>2016</v>
      </c>
      <c r="P4" s="502">
        <v>2017</v>
      </c>
      <c r="Q4" s="502">
        <v>2018</v>
      </c>
      <c r="R4" s="502">
        <v>2019</v>
      </c>
      <c r="S4" s="502">
        <v>2020</v>
      </c>
      <c r="T4" s="502">
        <v>2021</v>
      </c>
      <c r="U4" s="502">
        <v>2022</v>
      </c>
      <c r="V4" s="502">
        <v>2023</v>
      </c>
      <c r="W4" s="502">
        <v>2024</v>
      </c>
      <c r="X4" s="502">
        <v>2025</v>
      </c>
    </row>
    <row r="5" spans="1:24" s="76" customFormat="1" ht="5.0999999999999996" customHeight="1">
      <c r="A5" s="18"/>
      <c r="B5" s="78"/>
      <c r="C5" s="78"/>
      <c r="D5" s="78"/>
      <c r="E5" s="78"/>
      <c r="F5" s="78"/>
      <c r="G5" s="78"/>
      <c r="H5" s="78"/>
      <c r="I5" s="78"/>
      <c r="J5" s="78"/>
      <c r="K5" s="78"/>
      <c r="L5" s="78"/>
      <c r="M5" s="78"/>
      <c r="N5" s="78"/>
      <c r="O5" s="78"/>
      <c r="P5" s="78"/>
      <c r="Q5" s="78"/>
      <c r="R5" s="78"/>
      <c r="S5" s="78"/>
    </row>
    <row r="6" spans="1:24" ht="15.75" hidden="1" customHeight="1">
      <c r="A6" s="9" t="s">
        <v>2</v>
      </c>
      <c r="B6" s="78">
        <v>3.8506194179285904</v>
      </c>
      <c r="C6" s="78">
        <v>7.1000389178732952</v>
      </c>
      <c r="D6" s="78">
        <v>2.2909004668211281</v>
      </c>
      <c r="E6" s="78">
        <v>3.8163590079870247</v>
      </c>
      <c r="F6" s="78">
        <v>3.9169383893003373</v>
      </c>
      <c r="G6" s="78">
        <v>0</v>
      </c>
      <c r="H6" s="78"/>
      <c r="I6" s="78"/>
      <c r="J6" s="78"/>
      <c r="K6" s="78"/>
      <c r="L6" s="78"/>
      <c r="M6" s="78"/>
      <c r="N6" s="78"/>
      <c r="O6" s="78"/>
      <c r="P6" s="78"/>
      <c r="Q6" s="78"/>
      <c r="R6" s="78"/>
      <c r="S6" s="78"/>
    </row>
    <row r="7" spans="1:24" ht="15.75" hidden="1" customHeight="1">
      <c r="A7" s="9" t="s">
        <v>3</v>
      </c>
      <c r="B7" s="78">
        <v>0.34618920125998687</v>
      </c>
      <c r="C7" s="78">
        <v>0.39244349872430245</v>
      </c>
      <c r="D7" s="78">
        <v>0.42951758742336543</v>
      </c>
      <c r="E7" s="78">
        <v>0.42205654991521457</v>
      </c>
      <c r="F7" s="78">
        <v>0.45369609227566166</v>
      </c>
      <c r="G7" s="78">
        <v>0.44256357780600225</v>
      </c>
      <c r="H7" s="78">
        <v>0.32465603334973253</v>
      </c>
      <c r="I7" s="78"/>
      <c r="J7" s="78"/>
      <c r="K7" s="78"/>
      <c r="L7" s="78"/>
      <c r="M7" s="78"/>
      <c r="N7" s="78"/>
      <c r="O7" s="78"/>
      <c r="P7" s="78"/>
      <c r="Q7" s="78"/>
      <c r="R7" s="78"/>
      <c r="S7" s="78"/>
    </row>
    <row r="8" spans="1:24" ht="15.75" customHeight="1">
      <c r="A8" s="9" t="s">
        <v>4</v>
      </c>
      <c r="B8" s="78">
        <v>3.9366267723173691</v>
      </c>
      <c r="C8" s="78">
        <v>2.9866201473707341</v>
      </c>
      <c r="D8" s="78">
        <v>3.1725310656316998</v>
      </c>
      <c r="E8" s="78">
        <v>3.0524825368184167</v>
      </c>
      <c r="F8" s="78">
        <v>4.2058437993547333</v>
      </c>
      <c r="G8" s="78">
        <v>4.3358505101538078</v>
      </c>
      <c r="H8" s="78">
        <v>3.5220131811874049</v>
      </c>
      <c r="I8" s="78">
        <v>2.9502570429117911</v>
      </c>
      <c r="J8" s="78">
        <v>3.1</v>
      </c>
      <c r="K8" s="78">
        <v>3.7648162581164137</v>
      </c>
      <c r="L8" s="78">
        <v>4.8857496571145891</v>
      </c>
      <c r="M8" s="78">
        <v>4.5052838120726211</v>
      </c>
      <c r="N8" s="78">
        <v>5.0492173943420626</v>
      </c>
      <c r="O8" s="78">
        <v>6.1475155763109797</v>
      </c>
      <c r="P8" s="78">
        <v>5.6606752120670896</v>
      </c>
      <c r="Q8" s="78">
        <v>6.0868930003229318</v>
      </c>
      <c r="R8" s="78">
        <v>5.3994547462689022</v>
      </c>
      <c r="S8" s="78">
        <v>4.4017100765924804</v>
      </c>
      <c r="T8" s="78">
        <v>5.2271247208817968</v>
      </c>
      <c r="U8" s="78">
        <v>3.9049839988542869</v>
      </c>
      <c r="V8" s="78">
        <v>4.5823670305695678</v>
      </c>
      <c r="W8" s="78">
        <v>4.7438620915224528</v>
      </c>
      <c r="X8" s="78">
        <v>4.6540511435752023</v>
      </c>
    </row>
    <row r="9" spans="1:24" ht="15.75" customHeight="1">
      <c r="A9" s="9" t="s">
        <v>5</v>
      </c>
      <c r="B9" s="78">
        <v>2.3584971714109071</v>
      </c>
      <c r="C9" s="78">
        <v>1.3852708252572121</v>
      </c>
      <c r="D9" s="78">
        <v>1.1431422390302814</v>
      </c>
      <c r="E9" s="78">
        <v>0.94843477877581905</v>
      </c>
      <c r="F9" s="78">
        <v>0.98694292110790971</v>
      </c>
      <c r="G9" s="78">
        <v>1.134907683857916</v>
      </c>
      <c r="H9" s="78">
        <v>1.1203369247199844</v>
      </c>
      <c r="I9" s="78">
        <v>1.2528555873723979</v>
      </c>
      <c r="J9" s="78">
        <v>1.146108230340442</v>
      </c>
      <c r="K9" s="78">
        <v>0.89747717583707054</v>
      </c>
      <c r="L9" s="78">
        <v>1.3642370837167439</v>
      </c>
      <c r="M9" s="78">
        <v>0.65548347908228799</v>
      </c>
      <c r="N9" s="78">
        <v>0.66152028050740241</v>
      </c>
      <c r="O9" s="78">
        <v>0.88413382917958316</v>
      </c>
      <c r="P9" s="78">
        <v>0.84511458829122577</v>
      </c>
      <c r="Q9" s="393" t="s">
        <v>149</v>
      </c>
      <c r="R9" s="393" t="s">
        <v>149</v>
      </c>
      <c r="S9" s="393" t="s">
        <v>149</v>
      </c>
      <c r="T9" s="78">
        <v>2.1848786813446575</v>
      </c>
      <c r="U9" s="78">
        <v>2.1052741143643319</v>
      </c>
      <c r="V9" s="78">
        <v>0.82487447642255929</v>
      </c>
      <c r="W9" s="78">
        <v>0.61647842044433154</v>
      </c>
      <c r="X9" s="78">
        <v>0.61489499999999997</v>
      </c>
    </row>
    <row r="10" spans="1:24" ht="15.75" customHeight="1">
      <c r="A10" s="9" t="s">
        <v>50</v>
      </c>
      <c r="B10" s="78">
        <v>6.5649667856995624</v>
      </c>
      <c r="C10" s="78">
        <v>5.7821268298503146</v>
      </c>
      <c r="D10" s="78">
        <v>6.7992022977627009</v>
      </c>
      <c r="E10" s="78">
        <v>6.4096187727401528</v>
      </c>
      <c r="F10" s="78">
        <v>10.816961804659242</v>
      </c>
      <c r="G10" s="78">
        <v>11.293473252842414</v>
      </c>
      <c r="H10" s="78">
        <v>12.073197041881802</v>
      </c>
      <c r="I10" s="78">
        <v>10.79706578667896</v>
      </c>
      <c r="J10" s="78">
        <v>9.6942198248372762</v>
      </c>
      <c r="K10" s="78">
        <v>9.1500649601753796</v>
      </c>
      <c r="L10" s="78">
        <v>0.79996001092558644</v>
      </c>
      <c r="M10" s="78">
        <v>1.899707167929982</v>
      </c>
      <c r="N10" s="78">
        <v>1.4027650199799617</v>
      </c>
      <c r="O10" s="78">
        <v>1.7385213119052156</v>
      </c>
      <c r="P10" s="78">
        <v>1.9800002172371469</v>
      </c>
      <c r="Q10" s="78">
        <v>2.0279787204098292</v>
      </c>
      <c r="R10" s="78">
        <v>3.3419585820251667</v>
      </c>
      <c r="S10" s="78">
        <v>2.4366636512032129</v>
      </c>
      <c r="T10" s="78">
        <v>5.0439159278956733</v>
      </c>
      <c r="U10" s="78">
        <v>7.0924549829659833</v>
      </c>
      <c r="V10" s="78">
        <v>7.5171352857812694</v>
      </c>
      <c r="W10" s="78">
        <v>7.5655331233317957</v>
      </c>
      <c r="X10" s="78">
        <v>8.5921301690455287</v>
      </c>
    </row>
    <row r="11" spans="1:24" ht="15.75" customHeight="1">
      <c r="A11" s="9" t="s">
        <v>6</v>
      </c>
      <c r="B11" s="78">
        <v>4.966156131310302</v>
      </c>
      <c r="C11" s="78">
        <v>3.1458886578284626</v>
      </c>
      <c r="D11" s="78">
        <v>5.2864937009363029</v>
      </c>
      <c r="E11" s="78">
        <v>0.70387360049642633</v>
      </c>
      <c r="F11" s="78">
        <v>0.38014195174147308</v>
      </c>
      <c r="G11" s="78">
        <v>0.20889314697305794</v>
      </c>
      <c r="H11" s="78">
        <v>0.23991510934106616</v>
      </c>
      <c r="I11" s="78">
        <v>0.23388126549205643</v>
      </c>
      <c r="J11" s="78">
        <v>0.20996584652349551</v>
      </c>
      <c r="K11" s="78">
        <v>0.10079658122411472</v>
      </c>
      <c r="L11" s="78">
        <v>1.6112635297280114E-2</v>
      </c>
      <c r="M11" s="78">
        <v>1.8204016691682999E-2</v>
      </c>
      <c r="N11" s="78">
        <v>2.6683987348059976E-2</v>
      </c>
      <c r="O11" s="78">
        <v>2.0041455426198451E-2</v>
      </c>
      <c r="P11" s="78">
        <v>2.8126635695862094E-2</v>
      </c>
      <c r="Q11" s="78">
        <v>4.565988184493331E-2</v>
      </c>
      <c r="R11" s="78">
        <v>5.024862352111871E-2</v>
      </c>
      <c r="S11" s="78">
        <v>2.0465986747548865E-2</v>
      </c>
      <c r="T11" s="78">
        <v>0.05</v>
      </c>
      <c r="U11" s="393" t="s">
        <v>149</v>
      </c>
      <c r="V11" s="393" t="s">
        <v>149</v>
      </c>
      <c r="W11" s="393" t="s">
        <v>149</v>
      </c>
      <c r="X11" s="393" t="s">
        <v>149</v>
      </c>
    </row>
    <row r="12" spans="1:24" ht="15.75" customHeight="1">
      <c r="A12" s="9" t="s">
        <v>7</v>
      </c>
      <c r="B12" s="78">
        <v>1.3714667573213082</v>
      </c>
      <c r="C12" s="78">
        <v>3.6161550261654201</v>
      </c>
      <c r="D12" s="78">
        <v>6.9110495985730021</v>
      </c>
      <c r="E12" s="78">
        <v>10.289905366722529</v>
      </c>
      <c r="F12" s="78">
        <v>9.0931908085054083</v>
      </c>
      <c r="G12" s="78">
        <v>9.1141348635549626</v>
      </c>
      <c r="H12" s="78">
        <v>6.5124900868148847</v>
      </c>
      <c r="I12" s="78">
        <v>4.5016503855927672</v>
      </c>
      <c r="J12" s="78">
        <v>4.2335027675658887</v>
      </c>
      <c r="K12" s="78">
        <v>3.686102392362737</v>
      </c>
      <c r="L12" s="78">
        <v>4.1843812009960448</v>
      </c>
      <c r="M12" s="78">
        <v>4.6212241496933304</v>
      </c>
      <c r="N12" s="78">
        <v>3.644898345919164</v>
      </c>
      <c r="O12" s="78">
        <v>2.7162588692863969</v>
      </c>
      <c r="P12" s="78">
        <v>3.1541001121562773</v>
      </c>
      <c r="Q12" s="78">
        <v>3.8761173492495438</v>
      </c>
      <c r="R12" s="78">
        <v>4.7010148069780398</v>
      </c>
      <c r="S12" s="78">
        <v>4.1383713616158655</v>
      </c>
      <c r="T12" s="78">
        <v>5.2194270249701953</v>
      </c>
      <c r="U12" s="78">
        <v>4.2748604264950547</v>
      </c>
      <c r="V12" s="78">
        <v>2.65672551701073</v>
      </c>
      <c r="W12" s="590">
        <v>2.4218539205032821</v>
      </c>
      <c r="X12" s="590">
        <v>3.0464835767401515</v>
      </c>
    </row>
    <row r="13" spans="1:24" ht="15.75" customHeight="1">
      <c r="A13" s="9" t="s">
        <v>369</v>
      </c>
      <c r="B13" s="393" t="s">
        <v>149</v>
      </c>
      <c r="C13" s="393" t="s">
        <v>149</v>
      </c>
      <c r="D13" s="393" t="s">
        <v>149</v>
      </c>
      <c r="E13" s="393" t="s">
        <v>149</v>
      </c>
      <c r="F13" s="393" t="s">
        <v>149</v>
      </c>
      <c r="G13" s="393" t="s">
        <v>149</v>
      </c>
      <c r="H13" s="78">
        <v>0.3327667520528596</v>
      </c>
      <c r="I13" s="393" t="s">
        <v>149</v>
      </c>
      <c r="J13" s="393" t="s">
        <v>149</v>
      </c>
      <c r="K13" s="393" t="s">
        <v>149</v>
      </c>
      <c r="L13" s="393" t="s">
        <v>149</v>
      </c>
      <c r="M13" s="78">
        <v>0.02</v>
      </c>
      <c r="N13" s="78">
        <v>1.5</v>
      </c>
      <c r="O13" s="78">
        <v>0.03</v>
      </c>
      <c r="P13" s="78">
        <v>0.01</v>
      </c>
      <c r="Q13" s="78">
        <v>0.01</v>
      </c>
      <c r="R13" s="78">
        <v>0.01</v>
      </c>
      <c r="S13" s="78">
        <v>5.81</v>
      </c>
      <c r="T13" s="78">
        <v>0.84921198567521405</v>
      </c>
      <c r="U13" s="78">
        <f>0.0076*100</f>
        <v>0.76</v>
      </c>
      <c r="V13" s="78">
        <v>1.51</v>
      </c>
      <c r="W13" s="590">
        <v>2.9</v>
      </c>
      <c r="X13" s="590">
        <v>0.55834327314605403</v>
      </c>
    </row>
    <row r="14" spans="1:24" ht="15.75" customHeight="1">
      <c r="A14" s="9" t="s">
        <v>363</v>
      </c>
      <c r="B14" s="78" t="s">
        <v>149</v>
      </c>
      <c r="C14" s="78" t="s">
        <v>149</v>
      </c>
      <c r="D14" s="78" t="s">
        <v>149</v>
      </c>
      <c r="E14" s="78" t="s">
        <v>149</v>
      </c>
      <c r="F14" s="78" t="s">
        <v>149</v>
      </c>
      <c r="G14" s="78" t="s">
        <v>149</v>
      </c>
      <c r="H14" s="78" t="s">
        <v>149</v>
      </c>
      <c r="I14" s="78" t="s">
        <v>149</v>
      </c>
      <c r="J14" s="78" t="s">
        <v>149</v>
      </c>
      <c r="K14" s="78" t="s">
        <v>149</v>
      </c>
      <c r="L14" s="78" t="s">
        <v>149</v>
      </c>
      <c r="M14" s="78" t="s">
        <v>149</v>
      </c>
      <c r="N14" s="78" t="s">
        <v>149</v>
      </c>
      <c r="O14" s="78" t="s">
        <v>149</v>
      </c>
      <c r="P14" s="78" t="s">
        <v>149</v>
      </c>
      <c r="Q14" s="78" t="s">
        <v>149</v>
      </c>
      <c r="R14" s="78" t="s">
        <v>149</v>
      </c>
      <c r="S14" s="78" t="s">
        <v>149</v>
      </c>
      <c r="T14" s="78" t="s">
        <v>149</v>
      </c>
      <c r="U14" s="78" t="s">
        <v>149</v>
      </c>
      <c r="V14" s="78" t="s">
        <v>149</v>
      </c>
      <c r="W14" s="78" t="s">
        <v>149</v>
      </c>
      <c r="X14" s="78" t="s">
        <v>149</v>
      </c>
    </row>
    <row r="15" spans="1:24" ht="15.75" customHeight="1">
      <c r="A15" s="9" t="s">
        <v>8</v>
      </c>
      <c r="B15" s="78">
        <v>0.28306942859568179</v>
      </c>
      <c r="C15" s="78">
        <v>0.2898105325007278</v>
      </c>
      <c r="D15" s="78">
        <v>3.5579436857346796</v>
      </c>
      <c r="E15" s="78">
        <v>16.561961884866385</v>
      </c>
      <c r="F15" s="78">
        <v>12.312231471863372</v>
      </c>
      <c r="G15" s="78">
        <v>6.5837383160168326</v>
      </c>
      <c r="H15" s="78">
        <v>2.0162649771368391</v>
      </c>
      <c r="I15" s="78">
        <v>0.90275348106120012</v>
      </c>
      <c r="J15" s="78">
        <v>0.65004186029335076</v>
      </c>
      <c r="K15" s="78">
        <v>0.47410465720798328</v>
      </c>
      <c r="L15" s="78">
        <v>0.64698081094245108</v>
      </c>
      <c r="M15" s="78">
        <v>0.40804034312959547</v>
      </c>
      <c r="N15" s="78">
        <v>0.43491027858305853</v>
      </c>
      <c r="O15" s="78">
        <v>0.73054354310585246</v>
      </c>
      <c r="P15" s="78">
        <v>0.81075380921357532</v>
      </c>
      <c r="Q15" s="78">
        <v>1.0549293605383014</v>
      </c>
      <c r="R15" s="78">
        <v>1.5734293040738911</v>
      </c>
      <c r="S15" s="78">
        <v>0.84909868892612905</v>
      </c>
      <c r="T15" s="78">
        <v>0.70200147188970596</v>
      </c>
      <c r="U15" s="78">
        <v>0.66877231093664646</v>
      </c>
      <c r="V15" s="78">
        <v>0.62873623757800112</v>
      </c>
      <c r="W15" s="78">
        <v>0.73644565844663057</v>
      </c>
      <c r="X15" s="78">
        <v>1.0045078317831537</v>
      </c>
    </row>
    <row r="16" spans="1:24" ht="15.75" customHeight="1">
      <c r="A16" s="9" t="s">
        <v>82</v>
      </c>
      <c r="B16" s="78"/>
      <c r="C16" s="78">
        <v>0.1304496351184353</v>
      </c>
      <c r="D16" s="78">
        <v>5.748893357636068E-2</v>
      </c>
      <c r="E16" s="78">
        <v>5.9929254246206917E-2</v>
      </c>
      <c r="F16" s="78">
        <v>6.9465720638599279E-2</v>
      </c>
      <c r="G16" s="78">
        <v>5.2333320821208812E-2</v>
      </c>
      <c r="H16" s="78">
        <v>7.2226471323516672E-2</v>
      </c>
      <c r="I16" s="78">
        <v>0.14446159922771584</v>
      </c>
      <c r="J16" s="78">
        <v>0.17831921797720957</v>
      </c>
      <c r="K16" s="78">
        <v>0.25934443490066778</v>
      </c>
      <c r="L16" s="78">
        <v>0.44338623590751525</v>
      </c>
      <c r="M16" s="78">
        <v>0.86627340515520612</v>
      </c>
      <c r="N16" s="78">
        <v>1.1964106372329324</v>
      </c>
      <c r="O16" s="78">
        <v>1.9059560936080349</v>
      </c>
      <c r="P16" s="78">
        <v>2.1136472335787571</v>
      </c>
      <c r="Q16" s="78">
        <v>2.175024916491509</v>
      </c>
      <c r="R16" s="78">
        <v>2.1737674204403321</v>
      </c>
      <c r="S16" s="78">
        <v>0.5648280035674903</v>
      </c>
      <c r="T16" s="78">
        <v>0.82457632975395101</v>
      </c>
      <c r="U16" s="78">
        <f>1.37618554251895</f>
        <v>1.37618554251895</v>
      </c>
      <c r="V16" s="78">
        <v>1.70990798216783</v>
      </c>
      <c r="W16" s="78">
        <v>1.83319891942497</v>
      </c>
      <c r="X16" s="78">
        <v>1.9710401065094201</v>
      </c>
    </row>
    <row r="17" spans="1:24" ht="15.75" customHeight="1">
      <c r="A17" s="9" t="s">
        <v>9</v>
      </c>
      <c r="B17" s="78">
        <v>8.3190750572427849E-2</v>
      </c>
      <c r="C17" s="78">
        <v>4.8804590662863342E-2</v>
      </c>
      <c r="D17" s="78">
        <v>8.1501964779508079E-2</v>
      </c>
      <c r="E17" s="78">
        <v>7.7702548560636325E-2</v>
      </c>
      <c r="F17" s="78">
        <v>8.6660268465751089E-2</v>
      </c>
      <c r="G17" s="78">
        <v>0.12055419296984958</v>
      </c>
      <c r="H17" s="78">
        <v>0.14700433449022055</v>
      </c>
      <c r="I17" s="78">
        <v>0.14917926358142442</v>
      </c>
      <c r="J17" s="393" t="s">
        <v>149</v>
      </c>
      <c r="K17" s="78">
        <v>0.2</v>
      </c>
      <c r="L17" s="78">
        <v>0.1</v>
      </c>
      <c r="M17" s="78">
        <v>0.5</v>
      </c>
      <c r="N17" s="78">
        <v>0.30773357860044454</v>
      </c>
      <c r="O17" s="78">
        <v>0.4</v>
      </c>
      <c r="P17" s="78">
        <v>0.39091695094907514</v>
      </c>
      <c r="Q17" s="78">
        <v>0.27594060706933554</v>
      </c>
      <c r="R17" s="78">
        <v>0.2506272599170018</v>
      </c>
      <c r="S17" s="78">
        <v>0.15232401367307197</v>
      </c>
      <c r="T17" s="78">
        <v>9.5743818999992639E-2</v>
      </c>
      <c r="U17" s="78">
        <v>0.20178749772654028</v>
      </c>
      <c r="V17" s="78">
        <v>0.25297519734961577</v>
      </c>
      <c r="W17" s="78">
        <v>0.9297297168080455</v>
      </c>
      <c r="X17" s="78">
        <v>1.0434235215225629</v>
      </c>
    </row>
    <row r="18" spans="1:24" ht="5.0999999999999996" customHeight="1">
      <c r="A18" s="9"/>
      <c r="B18" s="83"/>
      <c r="C18" s="83"/>
      <c r="D18" s="83"/>
      <c r="E18" s="83"/>
      <c r="F18" s="83"/>
      <c r="G18" s="83"/>
      <c r="H18" s="78"/>
      <c r="I18" s="78"/>
    </row>
    <row r="19" spans="1:24" s="84" customFormat="1" ht="15.75" customHeight="1">
      <c r="A19" s="85" t="s">
        <v>10</v>
      </c>
      <c r="B19" s="423">
        <v>2.1940169122603193</v>
      </c>
      <c r="C19" s="423">
        <v>3.6116965488921036</v>
      </c>
      <c r="D19" s="423">
        <v>4.7726342822731533</v>
      </c>
      <c r="E19" s="423">
        <v>7.2723407844644168</v>
      </c>
      <c r="F19" s="423">
        <v>6.626879467724665</v>
      </c>
      <c r="G19" s="423">
        <v>6.6630561122220806</v>
      </c>
      <c r="H19" s="423">
        <v>4.7680793596910727</v>
      </c>
      <c r="I19" s="423">
        <v>3.7</v>
      </c>
      <c r="J19" s="423"/>
      <c r="K19" s="423"/>
      <c r="L19" s="423"/>
      <c r="M19" s="423"/>
      <c r="N19" s="423"/>
      <c r="O19" s="423"/>
      <c r="P19" s="423"/>
      <c r="Q19" s="465"/>
      <c r="R19" s="465"/>
      <c r="S19" s="465"/>
      <c r="T19" s="465"/>
      <c r="U19" s="465"/>
      <c r="V19" s="465"/>
      <c r="W19" s="465"/>
      <c r="X19" s="465"/>
    </row>
    <row r="20" spans="1:24" ht="6.75" customHeight="1">
      <c r="A20" s="9"/>
      <c r="B20" s="87"/>
      <c r="C20" s="87"/>
      <c r="D20" s="87"/>
      <c r="E20" s="87"/>
      <c r="G20" s="87"/>
    </row>
    <row r="21" spans="1:24">
      <c r="A21" s="132" t="s">
        <v>53</v>
      </c>
    </row>
    <row r="22" spans="1:24">
      <c r="A22" s="88" t="s">
        <v>395</v>
      </c>
    </row>
  </sheetData>
  <phoneticPr fontId="9" type="noConversion"/>
  <pageMargins left="0.74803149606299213" right="0.74803149606299213" top="0.98425196850393704" bottom="0.98425196850393704" header="0.51181102362204722" footer="0.51181102362204722"/>
  <pageSetup scale="92" orientation="landscape" r:id="rId1"/>
  <headerFooter alignWithMargins="0">
    <oddHeader>&amp;A</oddHeader>
    <oddFooter>&amp;L&amp;F&amp;R&amp;D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X21"/>
  <sheetViews>
    <sheetView showGridLines="0" zoomScale="90" zoomScaleNormal="90" workbookViewId="0"/>
  </sheetViews>
  <sheetFormatPr baseColWidth="10" defaultRowHeight="15"/>
  <cols>
    <col min="1" max="1" width="12.625" style="13" customWidth="1"/>
    <col min="2" max="5" width="11.375" style="143" bestFit="1" customWidth="1"/>
    <col min="6" max="6" width="11.375" style="13" bestFit="1" customWidth="1"/>
    <col min="7" max="7" width="11.375" style="143" bestFit="1" customWidth="1"/>
    <col min="8" max="9" width="11.5" style="13" customWidth="1"/>
    <col min="10" max="15" width="9.625" style="13" customWidth="1"/>
    <col min="16" max="16" width="10.25" style="13" customWidth="1"/>
    <col min="17" max="17" width="11" style="13"/>
    <col min="18" max="18" width="10" style="13" customWidth="1"/>
    <col min="19" max="16384" width="11" style="13"/>
  </cols>
  <sheetData>
    <row r="1" spans="1:24" ht="15.75" customHeight="1">
      <c r="A1" s="10" t="s">
        <v>312</v>
      </c>
      <c r="B1" s="13"/>
      <c r="C1" s="13"/>
      <c r="D1" s="13"/>
      <c r="E1" s="13"/>
      <c r="G1" s="13"/>
    </row>
    <row r="2" spans="1:24" ht="15.75" customHeight="1">
      <c r="A2" s="12" t="s">
        <v>404</v>
      </c>
      <c r="B2" s="13"/>
      <c r="C2" s="13"/>
      <c r="D2" s="13"/>
      <c r="E2" s="13"/>
      <c r="G2" s="13"/>
    </row>
    <row r="3" spans="1:24" ht="9" customHeight="1">
      <c r="A3" s="74"/>
      <c r="B3" s="75"/>
      <c r="C3" s="75"/>
      <c r="D3" s="75"/>
      <c r="E3" s="75"/>
      <c r="G3" s="75"/>
    </row>
    <row r="4" spans="1:24" s="11" customFormat="1" ht="33.75" customHeight="1">
      <c r="A4" s="348" t="s">
        <v>0</v>
      </c>
      <c r="B4" s="77" t="s">
        <v>121</v>
      </c>
      <c r="C4" s="77" t="s">
        <v>119</v>
      </c>
      <c r="D4" s="77" t="s">
        <v>124</v>
      </c>
      <c r="E4" s="77" t="s">
        <v>141</v>
      </c>
      <c r="F4" s="77" t="s">
        <v>160</v>
      </c>
      <c r="G4" s="77" t="s">
        <v>177</v>
      </c>
      <c r="H4" s="317" t="s">
        <v>186</v>
      </c>
      <c r="I4" s="317" t="s">
        <v>188</v>
      </c>
      <c r="J4" s="317" t="s">
        <v>199</v>
      </c>
      <c r="K4" s="317" t="s">
        <v>200</v>
      </c>
      <c r="L4" s="317" t="s">
        <v>201</v>
      </c>
      <c r="M4" s="317" t="s">
        <v>202</v>
      </c>
      <c r="N4" s="317" t="s">
        <v>354</v>
      </c>
      <c r="O4" s="317" t="s">
        <v>371</v>
      </c>
      <c r="P4" s="317" t="s">
        <v>383</v>
      </c>
      <c r="Q4" s="317" t="s">
        <v>401</v>
      </c>
      <c r="R4" s="317" t="s">
        <v>440</v>
      </c>
      <c r="S4" s="317" t="s">
        <v>465</v>
      </c>
      <c r="T4" s="317" t="s">
        <v>477</v>
      </c>
      <c r="U4" s="317" t="s">
        <v>488</v>
      </c>
      <c r="V4" s="317" t="s">
        <v>499</v>
      </c>
      <c r="W4" s="317" t="s">
        <v>518</v>
      </c>
      <c r="X4" s="317" t="s">
        <v>530</v>
      </c>
    </row>
    <row r="5" spans="1:24" s="134" customFormat="1" ht="5.0999999999999996" customHeight="1">
      <c r="A5" s="18"/>
      <c r="B5" s="135"/>
      <c r="C5" s="135"/>
      <c r="D5" s="135"/>
      <c r="E5" s="135"/>
      <c r="F5" s="135"/>
      <c r="G5" s="135"/>
      <c r="P5" s="76"/>
    </row>
    <row r="6" spans="1:24" ht="15.75" hidden="1" customHeight="1">
      <c r="A6" s="9" t="s">
        <v>2</v>
      </c>
      <c r="B6" s="136">
        <v>16139474337.667402</v>
      </c>
      <c r="C6" s="136">
        <v>18306170694.437256</v>
      </c>
      <c r="D6" s="136">
        <v>22564766695.635044</v>
      </c>
      <c r="E6" s="136">
        <v>29371309254.201626</v>
      </c>
      <c r="F6" s="136">
        <v>30104815411.853432</v>
      </c>
      <c r="G6" s="137"/>
      <c r="H6" s="80"/>
      <c r="I6" s="80"/>
      <c r="J6" s="80"/>
      <c r="K6" s="80"/>
      <c r="L6" s="80"/>
      <c r="M6" s="80"/>
      <c r="N6" s="80"/>
    </row>
    <row r="7" spans="1:24" ht="15.75" hidden="1" customHeight="1">
      <c r="A7" s="9" t="s">
        <v>3</v>
      </c>
      <c r="B7" s="136">
        <v>1493211960.741688</v>
      </c>
      <c r="C7" s="136">
        <v>1716125671.211972</v>
      </c>
      <c r="D7" s="136">
        <v>2059512581.8525004</v>
      </c>
      <c r="E7" s="136">
        <v>2298613344.0567465</v>
      </c>
      <c r="F7" s="136">
        <v>2910353940.9062085</v>
      </c>
      <c r="G7" s="136">
        <v>3885363177</v>
      </c>
      <c r="H7" s="138">
        <v>4626</v>
      </c>
      <c r="I7" s="139"/>
      <c r="J7" s="80"/>
      <c r="K7" s="80"/>
      <c r="L7" s="80"/>
      <c r="M7" s="80"/>
      <c r="N7" s="80"/>
    </row>
    <row r="8" spans="1:24" ht="15.75" customHeight="1">
      <c r="A8" s="9" t="s">
        <v>4</v>
      </c>
      <c r="B8" s="136">
        <v>49690049427.416634</v>
      </c>
      <c r="C8" s="136">
        <v>60798501417.294594</v>
      </c>
      <c r="D8" s="136">
        <v>74756441736.585388</v>
      </c>
      <c r="E8" s="136">
        <v>88631783091.342819</v>
      </c>
      <c r="F8" s="136">
        <v>111036953671.83884</v>
      </c>
      <c r="G8" s="136">
        <v>74312739361.95578</v>
      </c>
      <c r="H8" s="138">
        <v>118053</v>
      </c>
      <c r="I8" s="138">
        <v>148437.03298674125</v>
      </c>
      <c r="J8" s="69">
        <v>134930</v>
      </c>
      <c r="K8" s="69">
        <v>162020.98012954451</v>
      </c>
      <c r="L8" s="69">
        <v>162987.98195738505</v>
      </c>
      <c r="M8" s="414">
        <v>165431.55031446542</v>
      </c>
      <c r="N8" s="514">
        <v>154711.20112583338</v>
      </c>
      <c r="O8" s="69">
        <v>174479.87546643888</v>
      </c>
      <c r="P8" s="69">
        <v>210512.27510484055</v>
      </c>
      <c r="Q8" s="69">
        <v>193110.02889217896</v>
      </c>
      <c r="R8" s="69">
        <v>215372.40656687974</v>
      </c>
      <c r="S8" s="69">
        <v>213676.45495695542</v>
      </c>
      <c r="T8" s="69">
        <v>170709.011882177</v>
      </c>
      <c r="U8" s="69">
        <v>176317.12150450141</v>
      </c>
      <c r="V8" s="69">
        <v>182526.36535143745</v>
      </c>
      <c r="W8" s="69">
        <v>186405.2259009525</v>
      </c>
      <c r="X8" s="69">
        <v>239310.24520474876</v>
      </c>
    </row>
    <row r="9" spans="1:24" ht="15.75" customHeight="1">
      <c r="A9" s="9" t="s">
        <v>5</v>
      </c>
      <c r="B9" s="136">
        <v>7321979168.0312157</v>
      </c>
      <c r="C9" s="136">
        <v>11067058167.976746</v>
      </c>
      <c r="D9" s="136">
        <v>16015119822.083689</v>
      </c>
      <c r="E9" s="136">
        <v>19283562102.743</v>
      </c>
      <c r="F9" s="136">
        <v>24643319223.203613</v>
      </c>
      <c r="G9" s="136">
        <v>26021246093.049557</v>
      </c>
      <c r="H9" s="138">
        <v>39906</v>
      </c>
      <c r="I9" s="515">
        <v>51695.287324538651</v>
      </c>
      <c r="J9" s="69">
        <v>53419.544246655365</v>
      </c>
      <c r="K9" s="69">
        <v>71205.543962041134</v>
      </c>
      <c r="L9" s="69">
        <v>68562.802115391591</v>
      </c>
      <c r="M9" s="414">
        <v>64503.028738910332</v>
      </c>
      <c r="N9" s="414">
        <v>52960.067551323285</v>
      </c>
      <c r="O9" s="414">
        <v>63561.127623647015</v>
      </c>
      <c r="P9" s="414">
        <v>76075.8602334077</v>
      </c>
      <c r="Q9" s="414" t="s">
        <v>149</v>
      </c>
      <c r="R9" s="414" t="s">
        <v>149</v>
      </c>
      <c r="S9" s="414" t="s">
        <v>149</v>
      </c>
      <c r="T9" s="69">
        <v>89878.392553592028</v>
      </c>
      <c r="U9" s="69">
        <v>71834.934556920722</v>
      </c>
      <c r="V9" s="69">
        <v>106126.01192883399</v>
      </c>
      <c r="W9" s="69">
        <v>105437.03020241272</v>
      </c>
      <c r="X9" s="69">
        <v>140143.31086746001</v>
      </c>
    </row>
    <row r="10" spans="1:24" ht="15.75" customHeight="1">
      <c r="A10" s="9" t="s">
        <v>50</v>
      </c>
      <c r="B10" s="415">
        <v>309.35556406085539</v>
      </c>
      <c r="C10" s="415">
        <v>506.44095021635559</v>
      </c>
      <c r="D10" s="415">
        <v>746.56263492383744</v>
      </c>
      <c r="E10" s="415">
        <v>1061.1854450992601</v>
      </c>
      <c r="F10" s="415">
        <v>1450.0140540758841</v>
      </c>
      <c r="G10" s="415">
        <v>1609.3196444153575</v>
      </c>
      <c r="H10" s="138">
        <v>2091.2709470707218</v>
      </c>
      <c r="I10" s="515">
        <v>2866.5152702569658</v>
      </c>
      <c r="J10" s="69">
        <v>3552.062689225289</v>
      </c>
      <c r="K10" s="415">
        <v>4414.6239369012292</v>
      </c>
      <c r="L10" s="415">
        <v>5514.0539787075004</v>
      </c>
      <c r="M10" s="414">
        <v>6005.3415086910099</v>
      </c>
      <c r="N10" s="514">
        <v>7257.0085347971572</v>
      </c>
      <c r="O10" s="415">
        <v>8104.36440847225</v>
      </c>
      <c r="P10" s="415">
        <v>8892.9930998147156</v>
      </c>
      <c r="Q10" s="415">
        <v>9347.087252146639</v>
      </c>
      <c r="R10" s="69">
        <v>11982</v>
      </c>
      <c r="S10" s="69">
        <v>12851.09</v>
      </c>
      <c r="T10" s="69">
        <v>15188.19</v>
      </c>
      <c r="U10" s="69">
        <v>15662</v>
      </c>
      <c r="V10" s="69">
        <v>20985.486215629498</v>
      </c>
      <c r="W10" s="69">
        <v>24795.35</v>
      </c>
      <c r="X10" s="69">
        <v>29054.945988129453</v>
      </c>
    </row>
    <row r="11" spans="1:24" ht="15.75" customHeight="1">
      <c r="A11" s="9" t="s">
        <v>6</v>
      </c>
      <c r="B11" s="136">
        <v>1572391307</v>
      </c>
      <c r="C11" s="136">
        <v>2148396000</v>
      </c>
      <c r="D11" s="136">
        <v>2881461373.0799999</v>
      </c>
      <c r="E11" s="136">
        <v>3469773681.1200004</v>
      </c>
      <c r="F11" s="136">
        <v>4053974678.7399998</v>
      </c>
      <c r="G11" s="136">
        <v>4535244952.7799997</v>
      </c>
      <c r="H11" s="136">
        <v>5127132115.5999994</v>
      </c>
      <c r="I11" s="136">
        <v>5688191501.9899998</v>
      </c>
      <c r="J11" s="136">
        <v>6181440035.6299992</v>
      </c>
      <c r="K11" s="136">
        <v>6863354859.5299997</v>
      </c>
      <c r="L11" s="136">
        <v>7397585435.9200001</v>
      </c>
      <c r="M11" s="136">
        <v>8053746108.1199999</v>
      </c>
      <c r="N11" s="136">
        <v>8637018763.3700008</v>
      </c>
      <c r="O11" s="136">
        <v>9314740631.7600002</v>
      </c>
      <c r="P11" s="136">
        <v>10166055551.780001</v>
      </c>
      <c r="Q11" s="136">
        <v>10880797711.500002</v>
      </c>
      <c r="R11" s="136">
        <v>11775095331.5</v>
      </c>
      <c r="S11" s="136">
        <v>12451803219.389999</v>
      </c>
      <c r="T11" s="414">
        <v>12964.4</v>
      </c>
      <c r="U11" s="414" t="s">
        <v>149</v>
      </c>
      <c r="V11" s="414" t="s">
        <v>149</v>
      </c>
      <c r="W11" s="414" t="s">
        <v>149</v>
      </c>
      <c r="X11" s="414" t="s">
        <v>149</v>
      </c>
    </row>
    <row r="12" spans="1:24" ht="15.75" customHeight="1">
      <c r="A12" s="9" t="s">
        <v>405</v>
      </c>
      <c r="B12" s="136">
        <v>35743005229.340515</v>
      </c>
      <c r="C12" s="136">
        <v>42524261764.160919</v>
      </c>
      <c r="D12" s="136">
        <v>55204784129.383888</v>
      </c>
      <c r="E12" s="136">
        <v>66612882200.706673</v>
      </c>
      <c r="F12" s="136">
        <v>75994865578.714142</v>
      </c>
      <c r="G12" s="136">
        <v>67770989961.482742</v>
      </c>
      <c r="H12" s="138">
        <v>88106</v>
      </c>
      <c r="I12" s="138">
        <v>112141.03950152798</v>
      </c>
      <c r="J12" s="141">
        <v>112294660149.1626</v>
      </c>
      <c r="K12" s="141">
        <v>146788210440.89221</v>
      </c>
      <c r="L12" s="141">
        <v>156741018957.82123</v>
      </c>
      <c r="M12" s="141">
        <v>161001068765.77463</v>
      </c>
      <c r="N12" s="516">
        <v>147313326177.37106</v>
      </c>
      <c r="O12" s="517">
        <v>133568.01287869699</v>
      </c>
      <c r="P12" s="517">
        <v>160275.946045344</v>
      </c>
      <c r="Q12" s="517">
        <v>168582.601356887</v>
      </c>
      <c r="R12" s="69">
        <v>211325.150597826</v>
      </c>
      <c r="S12" s="69">
        <v>236570.36442364499</v>
      </c>
      <c r="T12" s="69">
        <v>255818.67586025302</v>
      </c>
      <c r="U12" s="69">
        <v>268304.61715720565</v>
      </c>
      <c r="V12" s="69">
        <v>351437.68595538446</v>
      </c>
      <c r="W12" s="69">
        <v>326140.26249922789</v>
      </c>
      <c r="X12" s="69">
        <v>460692.30930744723</v>
      </c>
    </row>
    <row r="13" spans="1:24" ht="15.75" customHeight="1">
      <c r="A13" s="9" t="s">
        <v>369</v>
      </c>
      <c r="B13" s="414" t="s">
        <v>149</v>
      </c>
      <c r="C13" s="414" t="s">
        <v>149</v>
      </c>
      <c r="D13" s="414" t="s">
        <v>149</v>
      </c>
      <c r="E13" s="414" t="s">
        <v>149</v>
      </c>
      <c r="F13" s="414" t="s">
        <v>149</v>
      </c>
      <c r="G13" s="414" t="s">
        <v>149</v>
      </c>
      <c r="H13" s="138">
        <v>85849</v>
      </c>
      <c r="I13" s="414" t="s">
        <v>149</v>
      </c>
      <c r="J13" s="414" t="s">
        <v>149</v>
      </c>
      <c r="K13" s="414" t="s">
        <v>149</v>
      </c>
      <c r="L13" s="414" t="s">
        <v>149</v>
      </c>
      <c r="M13" s="71">
        <v>384.44</v>
      </c>
      <c r="N13" s="71">
        <v>426.55</v>
      </c>
      <c r="O13" s="71">
        <v>478.26</v>
      </c>
      <c r="P13" s="71">
        <v>537.36</v>
      </c>
      <c r="Q13" s="71">
        <v>557.24</v>
      </c>
      <c r="R13" s="69">
        <v>623.89</v>
      </c>
      <c r="S13" s="69">
        <v>642.87</v>
      </c>
      <c r="T13" s="69">
        <v>696.5</v>
      </c>
      <c r="U13" s="69">
        <v>692.6</v>
      </c>
      <c r="V13" s="69">
        <v>737.57</v>
      </c>
      <c r="W13" s="69">
        <v>804.27</v>
      </c>
      <c r="X13" s="69">
        <v>919.57</v>
      </c>
    </row>
    <row r="14" spans="1:24" ht="15.75" customHeight="1">
      <c r="A14" s="9" t="s">
        <v>363</v>
      </c>
      <c r="B14" s="414" t="s">
        <v>149</v>
      </c>
      <c r="C14" s="414" t="s">
        <v>149</v>
      </c>
      <c r="D14" s="414" t="s">
        <v>149</v>
      </c>
      <c r="E14" s="414" t="s">
        <v>149</v>
      </c>
      <c r="F14" s="414" t="s">
        <v>149</v>
      </c>
      <c r="G14" s="414" t="s">
        <v>149</v>
      </c>
      <c r="H14" s="414" t="s">
        <v>149</v>
      </c>
      <c r="I14" s="414" t="s">
        <v>149</v>
      </c>
      <c r="J14" s="414" t="s">
        <v>149</v>
      </c>
      <c r="K14" s="414" t="s">
        <v>149</v>
      </c>
      <c r="L14" s="414" t="s">
        <v>149</v>
      </c>
      <c r="M14" s="414" t="s">
        <v>149</v>
      </c>
      <c r="N14" s="518">
        <v>661.4</v>
      </c>
      <c r="O14" s="518">
        <v>683.9</v>
      </c>
      <c r="P14" s="518">
        <v>712.9</v>
      </c>
      <c r="Q14" s="82">
        <v>738</v>
      </c>
      <c r="R14" s="69">
        <v>773.2</v>
      </c>
      <c r="S14" s="414" t="s">
        <v>149</v>
      </c>
      <c r="T14" s="414" t="s">
        <v>149</v>
      </c>
      <c r="U14" s="69">
        <v>821.2</v>
      </c>
      <c r="V14" s="69">
        <v>875.6</v>
      </c>
      <c r="W14" s="69">
        <v>942.9</v>
      </c>
      <c r="X14" s="69">
        <v>1024.0999999999999</v>
      </c>
    </row>
    <row r="15" spans="1:24" ht="15.75" customHeight="1">
      <c r="A15" s="9" t="s">
        <v>8</v>
      </c>
      <c r="B15" s="136">
        <v>6311440591.4628792</v>
      </c>
      <c r="C15" s="136">
        <v>7820356828.3102245</v>
      </c>
      <c r="D15" s="136">
        <v>9397081254.0936394</v>
      </c>
      <c r="E15" s="136">
        <v>14260282235.305443</v>
      </c>
      <c r="F15" s="136">
        <v>20155479215.733757</v>
      </c>
      <c r="G15" s="136">
        <v>16682348571.995575</v>
      </c>
      <c r="H15" s="138">
        <v>23768</v>
      </c>
      <c r="I15" s="138">
        <v>30787.998880723051</v>
      </c>
      <c r="J15" s="414">
        <v>30063.790274818679</v>
      </c>
      <c r="K15" s="414">
        <v>37595.797679146206</v>
      </c>
      <c r="L15" s="414">
        <v>36176.390433054046</v>
      </c>
      <c r="M15" s="414">
        <v>38088.891753764561</v>
      </c>
      <c r="N15" s="414">
        <v>36103.916118802881</v>
      </c>
      <c r="O15" s="414">
        <v>40285.603265135767</v>
      </c>
      <c r="P15" s="414">
        <v>47849.068887053603</v>
      </c>
      <c r="Q15" s="414">
        <v>45138.255593965208</v>
      </c>
      <c r="R15" s="69">
        <v>52349.049212141646</v>
      </c>
      <c r="S15" s="69">
        <v>45143.350950528584</v>
      </c>
      <c r="T15" s="69">
        <v>33160.277460288409</v>
      </c>
      <c r="U15" s="69">
        <v>27822.012939916451</v>
      </c>
      <c r="V15" s="69">
        <v>33159.504928019793</v>
      </c>
      <c r="W15" s="69">
        <v>28476.850323620562</v>
      </c>
      <c r="X15" s="69">
        <v>34238.252469589097</v>
      </c>
    </row>
    <row r="16" spans="1:24" ht="15.75" customHeight="1">
      <c r="A16" s="9" t="s">
        <v>82</v>
      </c>
      <c r="B16" s="136">
        <v>33739158.92517186</v>
      </c>
      <c r="C16" s="136">
        <v>193989327.84009546</v>
      </c>
      <c r="D16" s="136">
        <v>380980463.94195336</v>
      </c>
      <c r="E16" s="136">
        <v>639165951.0812819</v>
      </c>
      <c r="F16" s="136">
        <v>955264445.36412609</v>
      </c>
      <c r="G16" s="136">
        <v>1355523790.7701008</v>
      </c>
      <c r="H16" s="138">
        <v>1875</v>
      </c>
      <c r="I16" s="138">
        <v>2378.8773526223604</v>
      </c>
      <c r="J16" s="136">
        <v>3043454729.1871114</v>
      </c>
      <c r="K16" s="136">
        <v>3806234838.3275537</v>
      </c>
      <c r="L16" s="136">
        <v>4530481534.5591335</v>
      </c>
      <c r="M16" s="136">
        <v>5388247208.5303011</v>
      </c>
      <c r="N16" s="414">
        <v>6325.9247670603754</v>
      </c>
      <c r="O16" s="414">
        <v>7228.6140237049858</v>
      </c>
      <c r="P16" s="414">
        <v>8470.4292975446624</v>
      </c>
      <c r="Q16" s="414">
        <v>9387.4462326170924</v>
      </c>
      <c r="R16" s="69">
        <v>10508.01106950123</v>
      </c>
      <c r="S16" s="69">
        <v>11090.844667848363</v>
      </c>
      <c r="T16" s="69">
        <v>13372.572800365242</v>
      </c>
      <c r="U16" s="69">
        <v>15172.338666528754</v>
      </c>
      <c r="V16" s="69">
        <v>16767.525931871234</v>
      </c>
      <c r="W16" s="69">
        <v>23611.878268440003</v>
      </c>
      <c r="X16" s="69">
        <v>20195.377630723302</v>
      </c>
    </row>
    <row r="17" spans="1:24" ht="15.75" customHeight="1">
      <c r="A17" s="9" t="s">
        <v>9</v>
      </c>
      <c r="B17" s="136">
        <v>1232079171.3283241</v>
      </c>
      <c r="C17" s="136">
        <v>1678261414.5351043</v>
      </c>
      <c r="D17" s="136">
        <v>2153084707.9255238</v>
      </c>
      <c r="E17" s="136">
        <v>2585892749.3852463</v>
      </c>
      <c r="F17" s="136">
        <v>3391917313.0232558</v>
      </c>
      <c r="G17" s="136">
        <v>2872300935.4006267</v>
      </c>
      <c r="H17" s="138">
        <v>5104</v>
      </c>
      <c r="I17" s="138">
        <v>6693.7652394247034</v>
      </c>
      <c r="K17" s="142">
        <v>10145.505554104338</v>
      </c>
      <c r="L17" s="142">
        <v>10507.819151355368</v>
      </c>
      <c r="M17" s="142">
        <v>10956.904857978385</v>
      </c>
      <c r="N17" s="414">
        <v>10612.974144306898</v>
      </c>
      <c r="O17" s="142">
        <v>12414.490903468348</v>
      </c>
      <c r="P17" s="142">
        <v>16206.940894017522</v>
      </c>
      <c r="Q17" s="142">
        <v>15437.633440464651</v>
      </c>
      <c r="R17" s="69">
        <v>15110.842584247108</v>
      </c>
      <c r="S17" s="69">
        <v>16053.463713235709</v>
      </c>
      <c r="T17" s="69">
        <v>17351.370161480481</v>
      </c>
      <c r="U17" s="69">
        <v>22300.781061471342</v>
      </c>
      <c r="V17" s="69">
        <v>22553.872117571373</v>
      </c>
      <c r="W17" s="69">
        <v>22103.441981387012</v>
      </c>
      <c r="X17" s="69">
        <v>26879.568147374815</v>
      </c>
    </row>
    <row r="18" spans="1:24" ht="5.0999999999999996" customHeight="1">
      <c r="A18" s="505"/>
      <c r="B18" s="506"/>
      <c r="C18" s="506"/>
      <c r="D18" s="506"/>
      <c r="E18" s="506"/>
      <c r="F18" s="506"/>
      <c r="G18" s="506"/>
      <c r="H18" s="507"/>
      <c r="I18" s="507"/>
      <c r="J18" s="508"/>
      <c r="K18" s="508"/>
      <c r="L18" s="508"/>
      <c r="M18" s="508"/>
      <c r="N18" s="508"/>
      <c r="O18" s="508"/>
      <c r="P18" s="509"/>
      <c r="Q18" s="508"/>
      <c r="R18" s="508"/>
      <c r="S18" s="508"/>
      <c r="T18" s="519"/>
      <c r="U18" s="519"/>
      <c r="V18" s="519"/>
      <c r="W18" s="519"/>
      <c r="X18" s="519"/>
    </row>
    <row r="19" spans="1:24" s="11" customFormat="1" ht="15.75" customHeight="1">
      <c r="A19" s="85" t="s">
        <v>10</v>
      </c>
      <c r="B19" s="510">
        <v>119842404036.47763</v>
      </c>
      <c r="C19" s="510">
        <v>146728728631.96201</v>
      </c>
      <c r="D19" s="510">
        <v>186138578057.55304</v>
      </c>
      <c r="E19" s="510">
        <v>228056032715.21625</v>
      </c>
      <c r="F19" s="510">
        <v>274546706837.60977</v>
      </c>
      <c r="G19" s="510">
        <v>198883839780.87567</v>
      </c>
      <c r="H19" s="511">
        <v>373522</v>
      </c>
      <c r="I19" s="511">
        <v>329576.34810576035</v>
      </c>
      <c r="J19" s="511"/>
      <c r="K19" s="511"/>
      <c r="L19" s="511"/>
      <c r="M19" s="511"/>
      <c r="N19" s="511"/>
      <c r="O19" s="511"/>
      <c r="P19" s="86"/>
      <c r="Q19" s="512"/>
      <c r="R19" s="512"/>
      <c r="S19" s="512"/>
      <c r="T19" s="512"/>
      <c r="U19" s="512"/>
      <c r="V19" s="512"/>
      <c r="W19" s="512"/>
      <c r="X19" s="512"/>
    </row>
    <row r="20" spans="1:24" ht="14.1" customHeight="1">
      <c r="A20" s="29" t="s">
        <v>283</v>
      </c>
      <c r="B20" s="25"/>
      <c r="C20" s="25"/>
      <c r="D20" s="25"/>
      <c r="E20" s="25"/>
      <c r="G20" s="25"/>
    </row>
    <row r="21" spans="1:24">
      <c r="A21" s="88" t="s">
        <v>395</v>
      </c>
    </row>
  </sheetData>
  <phoneticPr fontId="9" type="noConversion"/>
  <pageMargins left="0.70866141732283472" right="0.70866141732283472" top="0.74803149606299213" bottom="0.74803149606299213" header="0.31496062992125984" footer="0.31496062992125984"/>
  <pageSetup scale="76" orientation="landscape" r:id="rId1"/>
  <headerFooter alignWithMargins="0">
    <oddHeader>&amp;A</oddHeader>
    <oddFooter>&amp;L&amp;F&amp;R&amp;D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X27"/>
  <sheetViews>
    <sheetView showGridLines="0" zoomScale="90" zoomScaleNormal="90" workbookViewId="0"/>
  </sheetViews>
  <sheetFormatPr baseColWidth="10" defaultRowHeight="15"/>
  <cols>
    <col min="1" max="1" width="12.625" style="13" customWidth="1"/>
    <col min="2" max="5" width="10.375" style="143" bestFit="1" customWidth="1"/>
    <col min="6" max="6" width="10.375" style="13" bestFit="1" customWidth="1"/>
    <col min="7" max="7" width="10.375" style="143" bestFit="1" customWidth="1"/>
    <col min="8" max="9" width="9.875" style="13" bestFit="1" customWidth="1"/>
    <col min="10" max="15" width="9.625" style="13" customWidth="1"/>
    <col min="16" max="16" width="9.875" style="13" customWidth="1"/>
    <col min="17" max="16384" width="11" style="13"/>
  </cols>
  <sheetData>
    <row r="1" spans="1:24" ht="15.75" customHeight="1">
      <c r="A1" s="12" t="s">
        <v>313</v>
      </c>
      <c r="B1" s="13"/>
      <c r="C1" s="13"/>
      <c r="D1" s="13"/>
      <c r="E1" s="13"/>
      <c r="G1" s="13"/>
    </row>
    <row r="2" spans="1:24" ht="15.75" customHeight="1">
      <c r="A2" s="12" t="s">
        <v>38</v>
      </c>
      <c r="B2" s="13"/>
      <c r="C2" s="13"/>
      <c r="D2" s="13"/>
      <c r="E2" s="13"/>
      <c r="G2" s="13"/>
    </row>
    <row r="3" spans="1:24" ht="15.75" customHeight="1">
      <c r="A3" s="10" t="s">
        <v>85</v>
      </c>
      <c r="B3" s="13"/>
      <c r="C3" s="13"/>
      <c r="D3" s="13"/>
      <c r="E3" s="13"/>
      <c r="G3" s="13"/>
    </row>
    <row r="4" spans="1:24" ht="8.25" customHeight="1">
      <c r="A4" s="12"/>
      <c r="B4" s="75"/>
      <c r="C4" s="75"/>
      <c r="D4" s="75"/>
      <c r="E4" s="75"/>
      <c r="F4" s="75"/>
      <c r="G4" s="75"/>
    </row>
    <row r="5" spans="1:24" s="144" customFormat="1" ht="45" customHeight="1">
      <c r="A5" s="513" t="s">
        <v>0</v>
      </c>
      <c r="B5" s="77" t="s">
        <v>121</v>
      </c>
      <c r="C5" s="77" t="s">
        <v>119</v>
      </c>
      <c r="D5" s="77" t="s">
        <v>124</v>
      </c>
      <c r="E5" s="77" t="s">
        <v>141</v>
      </c>
      <c r="F5" s="77" t="s">
        <v>160</v>
      </c>
      <c r="G5" s="77" t="s">
        <v>177</v>
      </c>
      <c r="H5" s="317" t="s">
        <v>186</v>
      </c>
      <c r="I5" s="317" t="s">
        <v>188</v>
      </c>
      <c r="J5" s="317" t="s">
        <v>199</v>
      </c>
      <c r="K5" s="317" t="s">
        <v>200</v>
      </c>
      <c r="L5" s="317" t="s">
        <v>201</v>
      </c>
      <c r="M5" s="317" t="s">
        <v>202</v>
      </c>
      <c r="N5" s="317" t="s">
        <v>354</v>
      </c>
      <c r="O5" s="317" t="s">
        <v>371</v>
      </c>
      <c r="P5" s="317" t="s">
        <v>383</v>
      </c>
      <c r="Q5" s="317" t="s">
        <v>401</v>
      </c>
      <c r="R5" s="317" t="s">
        <v>440</v>
      </c>
      <c r="S5" s="317" t="s">
        <v>465</v>
      </c>
      <c r="T5" s="317" t="s">
        <v>477</v>
      </c>
      <c r="U5" s="317" t="s">
        <v>488</v>
      </c>
      <c r="V5" s="317" t="s">
        <v>499</v>
      </c>
      <c r="W5" s="317" t="s">
        <v>518</v>
      </c>
      <c r="X5" s="317" t="s">
        <v>530</v>
      </c>
    </row>
    <row r="6" spans="1:24" ht="15" customHeight="1">
      <c r="A6" s="9" t="s">
        <v>2</v>
      </c>
      <c r="B6" s="78">
        <v>12.392307225853038</v>
      </c>
      <c r="C6" s="78">
        <v>11.948262783209477</v>
      </c>
      <c r="D6" s="78">
        <v>12.316039318139735</v>
      </c>
      <c r="E6" s="78">
        <v>13.709576737121687</v>
      </c>
      <c r="F6" s="78">
        <v>11.47526879322773</v>
      </c>
      <c r="G6" s="79"/>
      <c r="H6" s="481"/>
      <c r="I6" s="481"/>
      <c r="J6" s="481"/>
      <c r="K6" s="481"/>
      <c r="L6" s="481"/>
      <c r="M6" s="481"/>
      <c r="N6" s="481"/>
      <c r="O6" s="481"/>
      <c r="P6" s="481"/>
      <c r="Q6" s="481"/>
      <c r="R6" s="481"/>
      <c r="S6" s="481"/>
      <c r="T6" s="481"/>
      <c r="U6" s="481"/>
      <c r="V6" s="481"/>
      <c r="W6" s="481"/>
      <c r="X6" s="481"/>
    </row>
    <row r="7" spans="1:24" ht="15" customHeight="1">
      <c r="A7" s="9" t="s">
        <v>3</v>
      </c>
      <c r="B7" s="78">
        <v>20.876560318743984</v>
      </c>
      <c r="C7" s="78">
        <v>20.502318637320951</v>
      </c>
      <c r="D7" s="78">
        <v>21.580627764726479</v>
      </c>
      <c r="E7" s="78">
        <v>21.634525987147928</v>
      </c>
      <c r="F7" s="78">
        <v>22.020984724848134</v>
      </c>
      <c r="G7" s="78">
        <v>21.985781012416645</v>
      </c>
      <c r="H7" s="78">
        <v>26.490402189491501</v>
      </c>
      <c r="I7" s="79"/>
      <c r="J7" s="481"/>
      <c r="K7" s="481"/>
      <c r="L7" s="481"/>
      <c r="M7" s="481"/>
      <c r="N7" s="481"/>
      <c r="O7" s="481"/>
      <c r="P7" s="481"/>
      <c r="Q7" s="481"/>
      <c r="R7" s="481"/>
      <c r="S7" s="481"/>
      <c r="T7" s="481"/>
      <c r="U7" s="481"/>
      <c r="V7" s="481"/>
      <c r="W7" s="481"/>
      <c r="X7" s="481"/>
    </row>
    <row r="8" spans="1:24" ht="15" customHeight="1">
      <c r="A8" s="9" t="s">
        <v>4</v>
      </c>
      <c r="B8" s="78">
        <v>64.476259221386584</v>
      </c>
      <c r="C8" s="78">
        <v>59.084516206262251</v>
      </c>
      <c r="D8" s="78">
        <v>59.354281359330976</v>
      </c>
      <c r="E8" s="78">
        <v>61.013806190075407</v>
      </c>
      <c r="F8" s="78">
        <v>64.424641948424295</v>
      </c>
      <c r="G8" s="78">
        <v>52.804866679730402</v>
      </c>
      <c r="H8" s="78">
        <v>65.274068892518258</v>
      </c>
      <c r="I8" s="78">
        <v>75.906214690610256</v>
      </c>
      <c r="J8" s="44">
        <v>58.5</v>
      </c>
      <c r="K8" s="44">
        <v>60.098203490798014</v>
      </c>
      <c r="L8" s="44">
        <v>62.298196568768532</v>
      </c>
      <c r="M8" s="44">
        <v>68.267735288690162</v>
      </c>
      <c r="N8" s="44">
        <v>69.64475626314605</v>
      </c>
      <c r="O8" s="44">
        <v>69.622946363292471</v>
      </c>
      <c r="P8" s="44">
        <v>72.040311559823436</v>
      </c>
      <c r="Q8" s="44">
        <v>71.588127061557728</v>
      </c>
      <c r="R8" s="44">
        <v>80.815375001554159</v>
      </c>
      <c r="S8" s="44">
        <v>73.898123750938296</v>
      </c>
      <c r="T8" s="44">
        <v>60.318067824637737</v>
      </c>
      <c r="U8" s="44">
        <v>58.242554613494221</v>
      </c>
      <c r="V8" s="590">
        <v>60.45567882784249</v>
      </c>
      <c r="W8" s="590">
        <v>58.313690048564375</v>
      </c>
      <c r="X8" s="590">
        <v>64.13794279417472</v>
      </c>
    </row>
    <row r="9" spans="1:24" ht="15.75" customHeight="1">
      <c r="A9" s="9" t="s">
        <v>5</v>
      </c>
      <c r="B9" s="78">
        <v>8.7979243162669363</v>
      </c>
      <c r="C9" s="78">
        <v>10.237422413323436</v>
      </c>
      <c r="D9" s="78">
        <v>13.070524405075922</v>
      </c>
      <c r="E9" s="78">
        <v>13.987695135375796</v>
      </c>
      <c r="F9" s="78">
        <v>14.719600738294966</v>
      </c>
      <c r="G9" s="78">
        <v>16.039824009917805</v>
      </c>
      <c r="H9" s="78">
        <v>15.789473684210526</v>
      </c>
      <c r="I9" s="44">
        <v>18.090056517630813</v>
      </c>
      <c r="J9" s="44">
        <v>16.747338750114963</v>
      </c>
      <c r="K9" s="44">
        <v>18.92063027166715</v>
      </c>
      <c r="L9" s="44">
        <v>18.727890952850554</v>
      </c>
      <c r="M9" s="44">
        <v>20.767564206385892</v>
      </c>
      <c r="N9" s="44">
        <v>20.774081189982489</v>
      </c>
      <c r="O9" s="44">
        <v>22.128589645033699</v>
      </c>
      <c r="P9" s="44">
        <v>24.479034689632901</v>
      </c>
      <c r="Q9" s="520" t="s">
        <v>149</v>
      </c>
      <c r="R9" s="520" t="s">
        <v>149</v>
      </c>
      <c r="S9" s="520" t="s">
        <v>149</v>
      </c>
      <c r="T9" s="460">
        <v>30.395237912233647</v>
      </c>
      <c r="U9" s="460">
        <v>23.626331662763668</v>
      </c>
      <c r="V9" s="460">
        <v>25.795209568261456</v>
      </c>
      <c r="W9" s="460">
        <v>27.243016118471569</v>
      </c>
      <c r="X9" s="460">
        <v>28.420044000000001</v>
      </c>
    </row>
    <row r="10" spans="1:24" ht="15.75" customHeight="1">
      <c r="A10" s="9" t="s">
        <v>50</v>
      </c>
      <c r="B10" s="145">
        <v>1.8518101524563662</v>
      </c>
      <c r="C10" s="145">
        <v>4.7526512476688234</v>
      </c>
      <c r="D10" s="145">
        <v>3.8791767914223438</v>
      </c>
      <c r="E10" s="145">
        <v>4.7526512476688234</v>
      </c>
      <c r="F10" s="145">
        <v>5.280696998215527</v>
      </c>
      <c r="G10" s="145">
        <v>5.6379318502786431</v>
      </c>
      <c r="H10" s="145">
        <v>6.9358742562455475</v>
      </c>
      <c r="I10" s="145">
        <v>7.6270817356250884</v>
      </c>
      <c r="J10" s="145">
        <v>8.652849697525987</v>
      </c>
      <c r="K10" s="155">
        <v>9.7598561580232097</v>
      </c>
      <c r="L10" s="155">
        <v>11.055427350008994</v>
      </c>
      <c r="M10" s="155">
        <v>11.804358037087873</v>
      </c>
      <c r="N10" s="155">
        <v>13.17</v>
      </c>
      <c r="O10" s="520">
        <v>14.199494991447049</v>
      </c>
      <c r="P10" s="520">
        <v>15.448664982445376</v>
      </c>
      <c r="Q10" s="521">
        <v>14.974506972359242</v>
      </c>
      <c r="R10" s="521">
        <v>18.600477818984533</v>
      </c>
      <c r="S10" s="521">
        <v>20.674876926542037</v>
      </c>
      <c r="T10" s="460">
        <v>23.575543085985704</v>
      </c>
      <c r="U10" s="460">
        <v>24.556606196044299</v>
      </c>
      <c r="V10" s="460">
        <v>23.153512150471499</v>
      </c>
      <c r="W10" s="460">
        <v>25.6</v>
      </c>
      <c r="X10" s="460">
        <v>28.202640221592102</v>
      </c>
    </row>
    <row r="11" spans="1:24" ht="15.75" customHeight="1">
      <c r="A11" s="9" t="s">
        <v>6</v>
      </c>
      <c r="B11" s="78">
        <v>10.450074149148984</v>
      </c>
      <c r="C11" s="78">
        <v>13.598906211427813</v>
      </c>
      <c r="D11" s="78">
        <v>16.941752108850739</v>
      </c>
      <c r="E11" s="78">
        <v>18.704273591400863</v>
      </c>
      <c r="F11" s="78">
        <v>20.164112622992402</v>
      </c>
      <c r="G11" s="78">
        <v>21.162078077457888</v>
      </c>
      <c r="H11" s="78">
        <v>24.815508037365081</v>
      </c>
      <c r="I11" s="78">
        <v>26.557623630213417</v>
      </c>
      <c r="J11" s="146">
        <v>26.71437847629543</v>
      </c>
      <c r="K11" s="146">
        <v>28.821156228079754</v>
      </c>
      <c r="L11" s="146">
        <v>30.379104821259173</v>
      </c>
      <c r="M11" s="146">
        <v>32.005412988233047</v>
      </c>
      <c r="N11" s="146">
        <v>34.323325915386057</v>
      </c>
      <c r="O11" s="146">
        <v>34.75977632127212</v>
      </c>
      <c r="P11" s="146">
        <v>40.983169626420654</v>
      </c>
      <c r="Q11" s="146">
        <v>43.864562416550577</v>
      </c>
      <c r="R11" s="146">
        <v>43.779024352837865</v>
      </c>
      <c r="S11" s="146">
        <v>50.537540989913431</v>
      </c>
      <c r="T11" s="146">
        <v>44.8</v>
      </c>
      <c r="U11" s="520" t="s">
        <v>149</v>
      </c>
      <c r="V11" s="520" t="s">
        <v>149</v>
      </c>
      <c r="W11" s="520" t="s">
        <v>149</v>
      </c>
      <c r="X11" s="520" t="s">
        <v>149</v>
      </c>
    </row>
    <row r="12" spans="1:24" ht="15.75" customHeight="1">
      <c r="A12" s="9" t="s">
        <v>7</v>
      </c>
      <c r="B12" s="78">
        <v>5.6512397817123468</v>
      </c>
      <c r="C12" s="78">
        <v>5.8226766980032627</v>
      </c>
      <c r="D12" s="78">
        <v>7.0103334513113955</v>
      </c>
      <c r="E12" s="78">
        <v>7.8662290326554878</v>
      </c>
      <c r="F12" s="78">
        <v>8.4968629298196561</v>
      </c>
      <c r="G12" s="78">
        <v>7.7407038677455358</v>
      </c>
      <c r="H12" s="78">
        <v>9.7368358003501001</v>
      </c>
      <c r="I12" s="78">
        <v>10.78734580164992</v>
      </c>
      <c r="J12" s="146">
        <v>10.764532675099856</v>
      </c>
      <c r="K12" s="146">
        <v>12.18844151883817</v>
      </c>
      <c r="L12" s="146">
        <v>12.734695190765441</v>
      </c>
      <c r="M12" s="146">
        <v>13.919671296889085</v>
      </c>
      <c r="N12" s="146">
        <v>14.187695913916931</v>
      </c>
      <c r="O12" s="146">
        <v>14.107162999249571</v>
      </c>
      <c r="P12" s="146">
        <v>14.478340352181222</v>
      </c>
      <c r="Q12" s="146">
        <v>14.071645039886944</v>
      </c>
      <c r="R12" s="146">
        <v>16.309281085626758</v>
      </c>
      <c r="S12" s="146">
        <v>20.164114510043039</v>
      </c>
      <c r="T12" s="146">
        <v>19.9744242523449</v>
      </c>
      <c r="U12" s="146">
        <v>17.707213079188374</v>
      </c>
      <c r="V12" s="146">
        <v>18.735147605536582</v>
      </c>
      <c r="W12" s="146">
        <v>19.950309541711185</v>
      </c>
      <c r="X12" s="146">
        <v>23.491903745795945</v>
      </c>
    </row>
    <row r="13" spans="1:24" ht="15.75" customHeight="1">
      <c r="A13" s="9" t="s">
        <v>369</v>
      </c>
      <c r="B13" s="520" t="s">
        <v>149</v>
      </c>
      <c r="C13" s="520" t="s">
        <v>149</v>
      </c>
      <c r="D13" s="520" t="s">
        <v>149</v>
      </c>
      <c r="E13" s="520" t="s">
        <v>149</v>
      </c>
      <c r="F13" s="520" t="s">
        <v>149</v>
      </c>
      <c r="G13" s="520" t="s">
        <v>149</v>
      </c>
      <c r="H13" s="78">
        <v>332.99212179512045</v>
      </c>
      <c r="I13" s="520" t="s">
        <v>149</v>
      </c>
      <c r="J13" s="520" t="s">
        <v>149</v>
      </c>
      <c r="K13" s="520" t="s">
        <v>149</v>
      </c>
      <c r="L13" s="520" t="s">
        <v>149</v>
      </c>
      <c r="M13" s="71">
        <v>0.1</v>
      </c>
      <c r="N13" s="82">
        <v>0.82</v>
      </c>
      <c r="O13" s="82">
        <v>0.1</v>
      </c>
      <c r="P13" s="82">
        <v>0.01</v>
      </c>
      <c r="Q13" s="82">
        <v>1.3</v>
      </c>
      <c r="R13" s="82">
        <v>8.8748061850097443E-3</v>
      </c>
      <c r="S13" s="82">
        <v>1.8</v>
      </c>
      <c r="T13" s="82">
        <v>1.7</v>
      </c>
      <c r="U13" s="82">
        <v>1</v>
      </c>
      <c r="V13" s="146">
        <v>1.3</v>
      </c>
      <c r="W13" s="146">
        <v>3.9</v>
      </c>
      <c r="X13" s="146">
        <v>1.01713343951863</v>
      </c>
    </row>
    <row r="14" spans="1:24" ht="15.75" customHeight="1">
      <c r="A14" s="9" t="s">
        <v>364</v>
      </c>
      <c r="B14" s="520" t="s">
        <v>149</v>
      </c>
      <c r="C14" s="520" t="s">
        <v>149</v>
      </c>
      <c r="D14" s="520" t="s">
        <v>149</v>
      </c>
      <c r="E14" s="520" t="s">
        <v>149</v>
      </c>
      <c r="F14" s="520" t="s">
        <v>149</v>
      </c>
      <c r="G14" s="520" t="s">
        <v>149</v>
      </c>
      <c r="H14" s="520" t="s">
        <v>149</v>
      </c>
      <c r="I14" s="520" t="s">
        <v>149</v>
      </c>
      <c r="J14" s="520" t="s">
        <v>149</v>
      </c>
      <c r="K14" s="520" t="s">
        <v>149</v>
      </c>
      <c r="L14" s="520" t="s">
        <v>149</v>
      </c>
      <c r="M14" s="520" t="s">
        <v>149</v>
      </c>
      <c r="N14" s="78">
        <v>1.3</v>
      </c>
      <c r="O14" s="78">
        <v>1.2</v>
      </c>
      <c r="P14" s="78">
        <v>1.5284772</v>
      </c>
      <c r="Q14" s="82">
        <v>1.1000000000000001</v>
      </c>
      <c r="R14" s="82">
        <v>1.2</v>
      </c>
      <c r="S14" s="520" t="s">
        <v>149</v>
      </c>
      <c r="T14" s="520" t="s">
        <v>149</v>
      </c>
      <c r="U14" s="78">
        <v>1.9</v>
      </c>
      <c r="V14" s="78">
        <v>1.1079687450571001</v>
      </c>
      <c r="W14" s="78">
        <v>1.1599999999999999</v>
      </c>
      <c r="X14" s="78">
        <v>1.2</v>
      </c>
    </row>
    <row r="15" spans="1:24" ht="15.75" customHeight="1">
      <c r="A15" s="9" t="s">
        <v>8</v>
      </c>
      <c r="B15" s="78">
        <v>10.584595553170024</v>
      </c>
      <c r="C15" s="78">
        <v>10.984957476138574</v>
      </c>
      <c r="D15" s="78">
        <v>12.059294865455868</v>
      </c>
      <c r="E15" s="78">
        <v>15.252967896514352</v>
      </c>
      <c r="F15" s="78">
        <v>18.452734797948125</v>
      </c>
      <c r="G15" s="78">
        <v>13.809659291206339</v>
      </c>
      <c r="H15" s="78">
        <v>17.473638577416324</v>
      </c>
      <c r="I15" s="78">
        <v>19.877761219999712</v>
      </c>
      <c r="J15" s="78">
        <v>16.690560451873658</v>
      </c>
      <c r="K15" s="78">
        <v>18.286262160002519</v>
      </c>
      <c r="L15" s="78">
        <v>18.135850201412456</v>
      </c>
      <c r="M15" s="78">
        <v>19.697806528576304</v>
      </c>
      <c r="N15" s="78">
        <v>20.345412808312023</v>
      </c>
      <c r="O15" s="78">
        <v>20.719985101481175</v>
      </c>
      <c r="P15" s="78">
        <v>22.264930826174449</v>
      </c>
      <c r="Q15" s="78">
        <v>20.776537971275875</v>
      </c>
      <c r="R15" s="78">
        <v>22.822915551669233</v>
      </c>
      <c r="S15" s="78">
        <v>22.353301093415141</v>
      </c>
      <c r="T15" s="78">
        <v>15.330547271742137</v>
      </c>
      <c r="U15" s="78">
        <v>11.289384644452948</v>
      </c>
      <c r="V15" s="78">
        <v>12.461695422630727</v>
      </c>
      <c r="W15" s="78">
        <v>10.108007990899129</v>
      </c>
      <c r="X15" s="78">
        <v>9.8508078381768041</v>
      </c>
    </row>
    <row r="16" spans="1:24" ht="15.75" customHeight="1">
      <c r="A16" s="9" t="s">
        <v>82</v>
      </c>
      <c r="B16" s="78">
        <v>0.20292690671085359</v>
      </c>
      <c r="C16" s="78">
        <v>1.0399800736303513</v>
      </c>
      <c r="D16" s="78">
        <v>1.298949072250343</v>
      </c>
      <c r="E16" s="78">
        <v>2.4294314638443577</v>
      </c>
      <c r="F16" s="78">
        <v>2.3858513153532006</v>
      </c>
      <c r="G16" s="78">
        <v>3.5095102485298608</v>
      </c>
      <c r="H16" s="78">
        <v>4.0314065098900818</v>
      </c>
      <c r="I16" s="78">
        <v>4.6880375552904638</v>
      </c>
      <c r="J16" s="146">
        <v>5.5681186968934773</v>
      </c>
      <c r="K16" s="146">
        <v>6.6256273506745584</v>
      </c>
      <c r="L16" s="146">
        <v>7.6396195505751665</v>
      </c>
      <c r="M16" s="78">
        <v>8.5632031134659261</v>
      </c>
      <c r="N16" s="78">
        <v>10.333100179227936</v>
      </c>
      <c r="O16" s="78">
        <v>10.37921338844718</v>
      </c>
      <c r="P16" s="78">
        <v>11.289430919682109</v>
      </c>
      <c r="Q16" s="78">
        <v>16.600000000000001</v>
      </c>
      <c r="R16" s="78">
        <v>12.191417164791259</v>
      </c>
      <c r="S16" s="78">
        <v>14.4826533389771</v>
      </c>
      <c r="T16" s="78">
        <v>16.997390528463104</v>
      </c>
      <c r="U16" s="78">
        <v>13.258009845506001</v>
      </c>
      <c r="V16" s="78">
        <v>14.109759467610299</v>
      </c>
      <c r="W16" s="78">
        <v>14.6624547369893</v>
      </c>
      <c r="X16" s="78">
        <v>16.135906041295801</v>
      </c>
    </row>
    <row r="17" spans="1:24" ht="15.75" customHeight="1">
      <c r="A17" s="9" t="s">
        <v>9</v>
      </c>
      <c r="B17" s="78">
        <v>11.444091754620356</v>
      </c>
      <c r="C17" s="78">
        <v>16.149731301815294</v>
      </c>
      <c r="D17" s="78">
        <v>15.29493041961422</v>
      </c>
      <c r="E17" s="78">
        <v>13.972154192180177</v>
      </c>
      <c r="F17" s="78">
        <v>15.748004469922467</v>
      </c>
      <c r="G17" s="78">
        <v>9.5804637872606886</v>
      </c>
      <c r="H17" s="78">
        <v>14.085579284765288</v>
      </c>
      <c r="I17" s="78">
        <v>17.204563896020634</v>
      </c>
      <c r="J17" s="520" t="s">
        <v>149</v>
      </c>
      <c r="K17" s="148">
        <v>19.495665678490031</v>
      </c>
      <c r="L17" s="146">
        <v>19.595667339153124</v>
      </c>
      <c r="M17" s="146">
        <v>19.719269556998857</v>
      </c>
      <c r="N17" s="146">
        <v>22.342731498922568</v>
      </c>
      <c r="O17" s="146">
        <v>24.318102460126859</v>
      </c>
      <c r="P17" s="146">
        <v>28.028278154934068</v>
      </c>
      <c r="Q17" s="146">
        <v>25.73074830484331</v>
      </c>
      <c r="R17" s="146">
        <v>29.12</v>
      </c>
      <c r="S17" s="78">
        <v>34.002504771561945</v>
      </c>
      <c r="T17" s="78">
        <v>30.849940558206917</v>
      </c>
      <c r="U17" s="78">
        <v>27.789986966740354</v>
      </c>
      <c r="V17" s="78">
        <v>29.350328779817143</v>
      </c>
      <c r="W17" s="78">
        <v>29.917188032720205</v>
      </c>
      <c r="X17" s="78">
        <v>30.584289200529803</v>
      </c>
    </row>
    <row r="18" spans="1:24" ht="8.25" customHeight="1">
      <c r="A18" s="9"/>
      <c r="B18" s="83"/>
      <c r="C18" s="83"/>
      <c r="D18" s="83"/>
      <c r="E18" s="83"/>
      <c r="F18" s="83"/>
      <c r="G18" s="83"/>
      <c r="H18" s="78"/>
      <c r="I18" s="78"/>
    </row>
    <row r="19" spans="1:24" s="11" customFormat="1" ht="15.75" customHeight="1">
      <c r="A19" s="85" t="s">
        <v>10</v>
      </c>
      <c r="B19" s="423">
        <v>11.433786326554769</v>
      </c>
      <c r="C19" s="423">
        <v>11.86696478773997</v>
      </c>
      <c r="D19" s="423">
        <v>13.439885752073815</v>
      </c>
      <c r="E19" s="423">
        <v>14.870618773620233</v>
      </c>
      <c r="F19" s="423">
        <v>15.901491343924585</v>
      </c>
      <c r="G19" s="423">
        <v>13.881280859277195</v>
      </c>
      <c r="H19" s="423">
        <v>26.676712975934581</v>
      </c>
      <c r="I19" s="423">
        <v>22.865154397259857</v>
      </c>
      <c r="J19" s="423"/>
      <c r="K19" s="423"/>
      <c r="L19" s="423"/>
      <c r="M19" s="423"/>
      <c r="N19" s="423"/>
      <c r="O19" s="423"/>
      <c r="P19" s="423"/>
      <c r="Q19" s="512"/>
      <c r="R19" s="512"/>
      <c r="S19" s="512"/>
      <c r="T19" s="512"/>
      <c r="U19" s="512"/>
      <c r="V19" s="512"/>
      <c r="W19" s="512"/>
      <c r="X19" s="512"/>
    </row>
    <row r="20" spans="1:24" ht="15.75" customHeight="1">
      <c r="A20" s="9"/>
      <c r="B20" s="25"/>
      <c r="C20" s="25"/>
      <c r="D20" s="25"/>
      <c r="E20" s="25"/>
      <c r="F20" s="149"/>
      <c r="G20" s="25"/>
    </row>
    <row r="21" spans="1:24" ht="15.75" customHeight="1">
      <c r="A21" s="88" t="s">
        <v>395</v>
      </c>
      <c r="B21" s="25"/>
      <c r="C21" s="25"/>
      <c r="D21" s="25"/>
      <c r="E21" s="25"/>
      <c r="G21" s="25"/>
    </row>
    <row r="22" spans="1:24" ht="15.75" customHeight="1">
      <c r="A22" s="150" t="s">
        <v>473</v>
      </c>
      <c r="B22" s="25"/>
      <c r="C22" s="25"/>
      <c r="D22" s="25"/>
      <c r="E22" s="25"/>
      <c r="G22" s="25"/>
    </row>
    <row r="23" spans="1:24" ht="15.75" customHeight="1">
      <c r="A23" s="150"/>
      <c r="B23" s="25"/>
      <c r="C23" s="25"/>
      <c r="D23" s="25"/>
      <c r="E23" s="25"/>
      <c r="G23" s="25"/>
    </row>
    <row r="24" spans="1:24" ht="15.75" customHeight="1">
      <c r="A24" s="150"/>
      <c r="B24" s="25"/>
      <c r="C24" s="25"/>
      <c r="D24" s="25"/>
      <c r="E24" s="25"/>
      <c r="G24" s="25"/>
    </row>
    <row r="25" spans="1:24" ht="15.75" customHeight="1">
      <c r="A25" s="150"/>
      <c r="B25" s="25"/>
      <c r="C25" s="25"/>
      <c r="D25" s="25"/>
      <c r="E25" s="25"/>
      <c r="G25" s="25"/>
    </row>
    <row r="26" spans="1:24" ht="15.75" customHeight="1">
      <c r="B26" s="25"/>
      <c r="C26" s="25"/>
      <c r="D26" s="25"/>
      <c r="E26" s="25"/>
      <c r="G26" s="25"/>
    </row>
    <row r="27" spans="1:24" ht="15.75" customHeight="1">
      <c r="B27" s="25"/>
      <c r="C27" s="25"/>
      <c r="D27" s="25"/>
      <c r="E27" s="25"/>
      <c r="G27" s="25"/>
    </row>
  </sheetData>
  <phoneticPr fontId="9" type="noConversion"/>
  <pageMargins left="0.74803149606299213" right="0.74803149606299213" top="0.98425196850393704" bottom="0.98425196850393704" header="0.51181102362204722" footer="0.51181102362204722"/>
  <pageSetup scale="80" orientation="landscape" r:id="rId1"/>
  <headerFooter alignWithMargins="0">
    <oddHeader>&amp;A</oddHeader>
    <oddFooter>&amp;L&amp;F&amp;R&amp;D</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O352"/>
  <sheetViews>
    <sheetView showGridLines="0" showZeros="0" zoomScale="90" zoomScaleNormal="90" workbookViewId="0"/>
  </sheetViews>
  <sheetFormatPr baseColWidth="10" defaultRowHeight="15"/>
  <cols>
    <col min="1" max="1" width="12.625" style="13" customWidth="1"/>
    <col min="2" max="2" width="11.125" style="13" customWidth="1"/>
    <col min="3" max="6" width="10.625" style="13" customWidth="1"/>
    <col min="7" max="7" width="12.625" style="13" customWidth="1"/>
    <col min="8" max="15" width="10.625" style="13" customWidth="1"/>
    <col min="16" max="16384" width="11" style="13"/>
  </cols>
  <sheetData>
    <row r="1" spans="1:15" ht="15.75" customHeight="1">
      <c r="A1" s="10" t="s">
        <v>314</v>
      </c>
    </row>
    <row r="2" spans="1:15" ht="15.75" customHeight="1">
      <c r="A2" s="12" t="s">
        <v>284</v>
      </c>
    </row>
    <row r="3" spans="1:15" s="134" customFormat="1" ht="35.1" customHeight="1">
      <c r="A3" s="683" t="s">
        <v>0</v>
      </c>
      <c r="B3" s="683" t="s">
        <v>211</v>
      </c>
      <c r="C3" s="686" t="s">
        <v>212</v>
      </c>
      <c r="D3" s="687"/>
      <c r="E3" s="687"/>
      <c r="F3" s="687"/>
      <c r="G3" s="687"/>
      <c r="H3" s="688"/>
      <c r="I3" s="686" t="s">
        <v>213</v>
      </c>
      <c r="J3" s="687"/>
      <c r="K3" s="687"/>
      <c r="L3" s="687"/>
      <c r="M3" s="687"/>
      <c r="N3" s="688"/>
      <c r="O3" s="683" t="s">
        <v>21</v>
      </c>
    </row>
    <row r="4" spans="1:15" s="76" customFormat="1" ht="50.1" customHeight="1">
      <c r="A4" s="684"/>
      <c r="B4" s="684"/>
      <c r="C4" s="302" t="s">
        <v>214</v>
      </c>
      <c r="D4" s="302" t="s">
        <v>215</v>
      </c>
      <c r="E4" s="302" t="s">
        <v>216</v>
      </c>
      <c r="F4" s="302" t="s">
        <v>217</v>
      </c>
      <c r="G4" s="302" t="s">
        <v>218</v>
      </c>
      <c r="H4" s="302" t="s">
        <v>219</v>
      </c>
      <c r="I4" s="302" t="s">
        <v>214</v>
      </c>
      <c r="J4" s="302" t="s">
        <v>215</v>
      </c>
      <c r="K4" s="302" t="s">
        <v>216</v>
      </c>
      <c r="L4" s="302" t="s">
        <v>217</v>
      </c>
      <c r="M4" s="302" t="s">
        <v>218</v>
      </c>
      <c r="N4" s="302" t="s">
        <v>219</v>
      </c>
      <c r="O4" s="705"/>
    </row>
    <row r="5" spans="1:15">
      <c r="A5" s="685"/>
      <c r="B5" s="685"/>
      <c r="C5" s="689" t="s">
        <v>244</v>
      </c>
      <c r="D5" s="706"/>
      <c r="E5" s="706"/>
      <c r="F5" s="706"/>
      <c r="G5" s="706"/>
      <c r="H5" s="706"/>
      <c r="I5" s="706"/>
      <c r="J5" s="706"/>
      <c r="K5" s="706"/>
      <c r="L5" s="706"/>
      <c r="M5" s="706"/>
      <c r="N5" s="706"/>
      <c r="O5" s="690"/>
    </row>
    <row r="6" spans="1:15">
      <c r="A6" s="523" t="s">
        <v>220</v>
      </c>
      <c r="B6" s="524"/>
      <c r="C6" s="534"/>
      <c r="D6" s="534"/>
      <c r="E6" s="534"/>
      <c r="F6" s="534"/>
      <c r="G6" s="534"/>
      <c r="H6" s="534"/>
      <c r="I6" s="534"/>
      <c r="J6" s="534"/>
      <c r="K6" s="534"/>
      <c r="L6" s="534"/>
      <c r="M6" s="534"/>
      <c r="N6" s="534"/>
      <c r="O6" s="534"/>
    </row>
    <row r="7" spans="1:15" ht="15.75" customHeight="1">
      <c r="A7" s="523" t="s">
        <v>221</v>
      </c>
      <c r="B7" s="524">
        <v>134930000000</v>
      </c>
      <c r="C7" s="535">
        <v>0.215</v>
      </c>
      <c r="D7" s="535">
        <v>0.16600000000000001</v>
      </c>
      <c r="E7" s="535">
        <v>9.5000000000000001E-2</v>
      </c>
      <c r="F7" s="535">
        <v>0.13300000000000001</v>
      </c>
      <c r="G7" s="535">
        <v>2.5999999999999999E-2</v>
      </c>
      <c r="H7" s="535"/>
      <c r="I7" s="536"/>
      <c r="J7" s="536"/>
      <c r="K7" s="536"/>
      <c r="L7" s="536"/>
      <c r="M7" s="536"/>
      <c r="N7" s="536"/>
      <c r="O7" s="536"/>
    </row>
    <row r="8" spans="1:15" ht="15.75" customHeight="1">
      <c r="A8" s="523" t="s">
        <v>222</v>
      </c>
      <c r="B8" s="525">
        <v>53419.544246655365</v>
      </c>
      <c r="C8" s="536">
        <v>0.4418780235198474</v>
      </c>
      <c r="D8" s="536">
        <v>4.9736153087469058E-2</v>
      </c>
      <c r="E8" s="536">
        <v>2.6643599972266493E-2</v>
      </c>
      <c r="F8" s="536">
        <v>0.29252148092835706</v>
      </c>
      <c r="G8" s="536">
        <v>3.2934035245685889E-2</v>
      </c>
      <c r="H8" s="536">
        <v>6.2350690784035113E-3</v>
      </c>
      <c r="I8" s="536">
        <v>1.4177455526530663E-3</v>
      </c>
      <c r="J8" s="536">
        <v>2.4492836483467399E-2</v>
      </c>
      <c r="K8" s="536">
        <v>3.6907448274287323E-4</v>
      </c>
      <c r="L8" s="536">
        <v>1.838350639619241E-2</v>
      </c>
      <c r="M8" s="536">
        <v>0.10538847525291495</v>
      </c>
      <c r="N8" s="536">
        <v>0</v>
      </c>
      <c r="O8" s="536">
        <v>0</v>
      </c>
    </row>
    <row r="9" spans="1:15" ht="15.75" customHeight="1">
      <c r="A9" s="523" t="s">
        <v>223</v>
      </c>
      <c r="B9" s="524"/>
      <c r="C9" s="535"/>
      <c r="D9" s="535"/>
      <c r="E9" s="535"/>
      <c r="F9" s="535"/>
      <c r="G9" s="535"/>
      <c r="H9" s="535"/>
      <c r="I9" s="535"/>
      <c r="J9" s="535"/>
      <c r="K9" s="535"/>
      <c r="L9" s="535"/>
      <c r="M9" s="535"/>
      <c r="N9" s="535"/>
      <c r="O9" s="535"/>
    </row>
    <row r="10" spans="1:15" ht="15.75" customHeight="1">
      <c r="A10" s="523" t="s">
        <v>498</v>
      </c>
      <c r="B10" s="524">
        <v>6092680777.4637499</v>
      </c>
      <c r="C10" s="535">
        <v>0.83546628683110713</v>
      </c>
      <c r="D10" s="535">
        <v>9.7842023770822711E-2</v>
      </c>
      <c r="E10" s="535">
        <v>6.4383262966994315E-2</v>
      </c>
      <c r="F10" s="535"/>
      <c r="G10" s="535"/>
      <c r="H10" s="535">
        <v>2.3084264310760105E-3</v>
      </c>
      <c r="I10" s="535"/>
      <c r="J10" s="535"/>
      <c r="K10" s="535"/>
      <c r="L10" s="535"/>
      <c r="M10" s="535"/>
      <c r="N10" s="535"/>
      <c r="O10" s="535"/>
    </row>
    <row r="11" spans="1:15" ht="15.75" customHeight="1">
      <c r="A11" s="523" t="s">
        <v>224</v>
      </c>
      <c r="B11" s="524">
        <v>112294660149.1626</v>
      </c>
      <c r="C11" s="536">
        <v>0.58829446185665513</v>
      </c>
      <c r="D11" s="536">
        <v>2.5162006761864721E-2</v>
      </c>
      <c r="E11" s="536">
        <v>0.14076192913461241</v>
      </c>
      <c r="F11" s="536">
        <v>8.1317132982014553E-2</v>
      </c>
      <c r="G11" s="536">
        <v>0</v>
      </c>
      <c r="H11" s="536">
        <v>1.2985302953626165E-2</v>
      </c>
      <c r="I11" s="536">
        <v>0</v>
      </c>
      <c r="J11" s="536">
        <v>1.9157368372459013E-2</v>
      </c>
      <c r="K11" s="536">
        <v>9.5819080259367355E-3</v>
      </c>
      <c r="L11" s="536">
        <v>9.6103917948368783E-2</v>
      </c>
      <c r="M11" s="536">
        <v>0</v>
      </c>
      <c r="N11" s="536">
        <v>0</v>
      </c>
      <c r="O11" s="536">
        <v>2.6635971964462497E-2</v>
      </c>
    </row>
    <row r="12" spans="1:15" ht="15.75" customHeight="1">
      <c r="A12" s="523" t="s">
        <v>184</v>
      </c>
      <c r="B12" s="524"/>
      <c r="C12" s="535"/>
      <c r="D12" s="535"/>
      <c r="E12" s="535"/>
      <c r="F12" s="535"/>
      <c r="G12" s="535"/>
      <c r="H12" s="535"/>
      <c r="I12" s="535"/>
      <c r="J12" s="535"/>
      <c r="K12" s="535"/>
      <c r="L12" s="535"/>
      <c r="M12" s="535"/>
      <c r="N12" s="535"/>
      <c r="O12" s="535"/>
    </row>
    <row r="13" spans="1:15" ht="15.75" customHeight="1">
      <c r="A13" s="523" t="s">
        <v>8</v>
      </c>
      <c r="B13" s="524">
        <v>30063790274.81868</v>
      </c>
      <c r="C13" s="535">
        <v>0.16993511869419847</v>
      </c>
      <c r="D13" s="535">
        <v>0.11038455269832265</v>
      </c>
      <c r="E13" s="535">
        <v>7.6860947516197431E-2</v>
      </c>
      <c r="F13" s="535">
        <v>0.27082164356622812</v>
      </c>
      <c r="G13" s="535">
        <v>3.6635101162068071E-2</v>
      </c>
      <c r="H13" s="535">
        <v>0</v>
      </c>
      <c r="I13" s="535">
        <v>1.1592873350307922E-2</v>
      </c>
      <c r="J13" s="535">
        <v>2.0719534940569106E-2</v>
      </c>
      <c r="K13" s="535">
        <v>3.436093200350513E-2</v>
      </c>
      <c r="L13" s="535">
        <v>7.874875725895468E-2</v>
      </c>
      <c r="M13" s="535">
        <v>0.140804176765366</v>
      </c>
      <c r="N13" s="535">
        <v>0</v>
      </c>
      <c r="O13" s="536">
        <v>4.9000000000000002E-2</v>
      </c>
    </row>
    <row r="14" spans="1:15" ht="15.75" customHeight="1">
      <c r="A14" s="523" t="s">
        <v>225</v>
      </c>
      <c r="B14" s="527">
        <v>3053586481.1152992</v>
      </c>
      <c r="C14" s="535">
        <v>0.58462894391751963</v>
      </c>
      <c r="D14" s="535">
        <v>0.38370721511618472</v>
      </c>
      <c r="E14" s="535">
        <v>3.1663840966295743E-2</v>
      </c>
      <c r="F14" s="535">
        <v>0</v>
      </c>
      <c r="G14" s="535">
        <v>0</v>
      </c>
      <c r="H14" s="535">
        <v>0</v>
      </c>
      <c r="I14" s="535">
        <v>0</v>
      </c>
      <c r="J14" s="535">
        <v>0</v>
      </c>
      <c r="K14" s="535">
        <v>0</v>
      </c>
      <c r="L14" s="535">
        <v>0</v>
      </c>
      <c r="M14" s="535">
        <v>0</v>
      </c>
      <c r="N14" s="535">
        <v>0</v>
      </c>
      <c r="O14" s="535">
        <v>0</v>
      </c>
    </row>
    <row r="15" spans="1:15" ht="15.75" customHeight="1">
      <c r="A15" s="523" t="s">
        <v>9</v>
      </c>
      <c r="B15" s="524"/>
      <c r="C15" s="541"/>
      <c r="D15" s="542"/>
      <c r="E15" s="542"/>
      <c r="F15" s="542"/>
      <c r="G15" s="542"/>
      <c r="H15" s="542"/>
      <c r="I15" s="542"/>
      <c r="J15" s="542"/>
      <c r="K15" s="542"/>
      <c r="L15" s="542"/>
      <c r="M15" s="542"/>
      <c r="N15" s="542"/>
      <c r="O15" s="542"/>
    </row>
    <row r="16" spans="1:15" ht="15.75" customHeight="1">
      <c r="A16" s="306" t="s">
        <v>10</v>
      </c>
      <c r="B16" s="539">
        <f>SUM(B6:B15)</f>
        <v>286434771102.10455</v>
      </c>
      <c r="C16" s="540"/>
      <c r="D16" s="540"/>
      <c r="E16" s="540"/>
      <c r="F16" s="540"/>
      <c r="G16" s="540"/>
      <c r="H16" s="540"/>
      <c r="I16" s="540"/>
      <c r="J16" s="540"/>
      <c r="K16" s="540"/>
      <c r="L16" s="540"/>
      <c r="M16" s="540"/>
      <c r="N16" s="540"/>
      <c r="O16" s="540"/>
    </row>
    <row r="17" spans="1:15" ht="15" customHeight="1">
      <c r="A17" s="266" t="s">
        <v>226</v>
      </c>
      <c r="B17" s="29"/>
      <c r="C17" s="29"/>
      <c r="D17" s="29"/>
      <c r="E17" s="29"/>
      <c r="F17" s="29"/>
      <c r="G17" s="29"/>
      <c r="H17" s="29"/>
      <c r="I17" s="29"/>
      <c r="J17" s="29"/>
      <c r="K17" s="29"/>
      <c r="L17" s="29"/>
      <c r="M17" s="29"/>
      <c r="N17" s="29"/>
      <c r="O17" s="29"/>
    </row>
    <row r="18" spans="1:15" s="134" customFormat="1" ht="15" customHeight="1">
      <c r="A18" s="29" t="s">
        <v>227</v>
      </c>
      <c r="B18" s="29"/>
      <c r="C18" s="29"/>
      <c r="D18" s="29"/>
      <c r="E18" s="29"/>
      <c r="F18" s="29"/>
      <c r="G18" s="29"/>
      <c r="H18" s="29"/>
      <c r="I18" s="29"/>
      <c r="J18" s="29"/>
      <c r="K18" s="29"/>
      <c r="L18" s="29"/>
      <c r="M18" s="29"/>
      <c r="N18" s="29"/>
      <c r="O18" s="29"/>
    </row>
    <row r="19" spans="1:15" ht="15" customHeight="1">
      <c r="A19" s="29" t="s">
        <v>228</v>
      </c>
      <c r="B19" s="29"/>
      <c r="C19" s="29"/>
      <c r="D19" s="29"/>
      <c r="E19" s="29"/>
      <c r="F19" s="29"/>
      <c r="G19" s="29"/>
      <c r="H19" s="29"/>
      <c r="I19" s="29"/>
      <c r="J19" s="29"/>
      <c r="K19" s="29"/>
      <c r="L19" s="29"/>
      <c r="M19" s="29"/>
      <c r="N19" s="29"/>
      <c r="O19" s="29"/>
    </row>
    <row r="20" spans="1:15" ht="15" customHeight="1">
      <c r="A20" s="307" t="s">
        <v>344</v>
      </c>
    </row>
    <row r="21" spans="1:15" ht="15" customHeight="1">
      <c r="A21" s="307" t="s">
        <v>343</v>
      </c>
    </row>
    <row r="22" spans="1:15" ht="12" customHeight="1">
      <c r="A22" s="307"/>
    </row>
    <row r="23" spans="1:15" ht="15.75" customHeight="1">
      <c r="A23" s="12" t="s">
        <v>285</v>
      </c>
    </row>
    <row r="24" spans="1:15" ht="35.1" customHeight="1">
      <c r="A24" s="683" t="s">
        <v>0</v>
      </c>
      <c r="B24" s="683" t="s">
        <v>211</v>
      </c>
      <c r="C24" s="686" t="s">
        <v>212</v>
      </c>
      <c r="D24" s="687"/>
      <c r="E24" s="687"/>
      <c r="F24" s="687"/>
      <c r="G24" s="687"/>
      <c r="H24" s="688"/>
      <c r="I24" s="686" t="s">
        <v>213</v>
      </c>
      <c r="J24" s="687"/>
      <c r="K24" s="687"/>
      <c r="L24" s="687"/>
      <c r="M24" s="687"/>
      <c r="N24" s="688"/>
      <c r="O24" s="683" t="s">
        <v>21</v>
      </c>
    </row>
    <row r="25" spans="1:15" ht="50.1" customHeight="1">
      <c r="A25" s="684"/>
      <c r="B25" s="684"/>
      <c r="C25" s="302" t="s">
        <v>214</v>
      </c>
      <c r="D25" s="302" t="s">
        <v>215</v>
      </c>
      <c r="E25" s="302" t="s">
        <v>216</v>
      </c>
      <c r="F25" s="302" t="s">
        <v>217</v>
      </c>
      <c r="G25" s="302" t="s">
        <v>218</v>
      </c>
      <c r="H25" s="302" t="s">
        <v>219</v>
      </c>
      <c r="I25" s="302" t="s">
        <v>214</v>
      </c>
      <c r="J25" s="302" t="s">
        <v>215</v>
      </c>
      <c r="K25" s="302" t="s">
        <v>216</v>
      </c>
      <c r="L25" s="302" t="s">
        <v>217</v>
      </c>
      <c r="M25" s="302" t="s">
        <v>218</v>
      </c>
      <c r="N25" s="302" t="s">
        <v>219</v>
      </c>
      <c r="O25" s="705"/>
    </row>
    <row r="26" spans="1:15" ht="12.95" customHeight="1">
      <c r="A26" s="685"/>
      <c r="B26" s="685"/>
      <c r="C26" s="689" t="s">
        <v>244</v>
      </c>
      <c r="D26" s="706"/>
      <c r="E26" s="706"/>
      <c r="F26" s="706"/>
      <c r="G26" s="706"/>
      <c r="H26" s="706"/>
      <c r="I26" s="706"/>
      <c r="J26" s="706"/>
      <c r="K26" s="706"/>
      <c r="L26" s="706"/>
      <c r="M26" s="706"/>
      <c r="N26" s="706"/>
      <c r="O26" s="690"/>
    </row>
    <row r="27" spans="1:15" ht="15.75" customHeight="1">
      <c r="A27" s="523" t="s">
        <v>220</v>
      </c>
      <c r="B27" s="524"/>
      <c r="C27" s="534"/>
      <c r="D27" s="534"/>
      <c r="E27" s="534"/>
      <c r="F27" s="534"/>
      <c r="G27" s="534"/>
      <c r="H27" s="534"/>
      <c r="I27" s="534"/>
      <c r="J27" s="534"/>
      <c r="K27" s="534"/>
      <c r="L27" s="534"/>
      <c r="M27" s="534"/>
      <c r="N27" s="534"/>
      <c r="O27" s="534"/>
    </row>
    <row r="28" spans="1:15">
      <c r="A28" s="523" t="s">
        <v>221</v>
      </c>
      <c r="B28" s="524">
        <v>162020000000.98001</v>
      </c>
      <c r="C28" s="535">
        <v>0.214</v>
      </c>
      <c r="D28" s="535">
        <v>0.17</v>
      </c>
      <c r="E28" s="535">
        <v>0.08</v>
      </c>
      <c r="F28" s="535">
        <v>0.124</v>
      </c>
      <c r="G28" s="535">
        <v>2.5000000000000001E-2</v>
      </c>
      <c r="H28" s="536">
        <v>0</v>
      </c>
      <c r="I28" s="535">
        <v>1E-3</v>
      </c>
      <c r="J28" s="535">
        <v>0</v>
      </c>
      <c r="K28" s="535">
        <v>2E-3</v>
      </c>
      <c r="L28" s="535">
        <v>8.3000000000000004E-2</v>
      </c>
      <c r="M28" s="535">
        <v>0.29599999999999999</v>
      </c>
      <c r="N28" s="535">
        <v>0</v>
      </c>
      <c r="O28" s="535"/>
    </row>
    <row r="29" spans="1:15">
      <c r="A29" s="523" t="s">
        <v>222</v>
      </c>
      <c r="B29" s="524">
        <v>69315262020.900299</v>
      </c>
      <c r="C29" s="536">
        <v>0.40773114261136939</v>
      </c>
      <c r="D29" s="536">
        <v>7.2021326921183279E-2</v>
      </c>
      <c r="E29" s="536">
        <v>2.5727013310925403E-2</v>
      </c>
      <c r="F29" s="536">
        <v>0.30394293785752502</v>
      </c>
      <c r="G29" s="536">
        <v>2.8425553132492586E-2</v>
      </c>
      <c r="H29" s="536">
        <v>6.3356625386061403E-3</v>
      </c>
      <c r="I29" s="536">
        <v>2.5517410389137665E-3</v>
      </c>
      <c r="J29" s="536">
        <v>2.1517217687211772E-2</v>
      </c>
      <c r="K29" s="536">
        <v>1.790779404648343E-3</v>
      </c>
      <c r="L29" s="536">
        <v>2.4741876659802882E-2</v>
      </c>
      <c r="M29" s="536">
        <v>0.10521474883732157</v>
      </c>
      <c r="N29" s="536">
        <v>0</v>
      </c>
      <c r="O29" s="536">
        <v>0</v>
      </c>
    </row>
    <row r="30" spans="1:15">
      <c r="A30" s="523" t="s">
        <v>223</v>
      </c>
      <c r="B30" s="543"/>
      <c r="C30" s="526"/>
      <c r="D30" s="526"/>
      <c r="E30" s="526"/>
      <c r="F30" s="526"/>
      <c r="G30" s="526"/>
      <c r="H30" s="526"/>
      <c r="I30" s="544"/>
      <c r="J30" s="536"/>
      <c r="K30" s="536"/>
      <c r="L30" s="536"/>
      <c r="M30" s="536"/>
      <c r="N30" s="536"/>
      <c r="O30" s="526"/>
    </row>
    <row r="31" spans="1:15" ht="17.25">
      <c r="A31" s="523" t="s">
        <v>498</v>
      </c>
      <c r="B31" s="524">
        <v>6834873582.9699202</v>
      </c>
      <c r="C31" s="535">
        <v>0.83680420228741415</v>
      </c>
      <c r="D31" s="535">
        <v>8.0921706525783815E-2</v>
      </c>
      <c r="E31" s="535">
        <v>7.5676330681704818E-2</v>
      </c>
      <c r="F31" s="535"/>
      <c r="G31" s="535"/>
      <c r="H31" s="535">
        <v>6.5977605050971579E-3</v>
      </c>
      <c r="I31" s="535"/>
      <c r="J31" s="535"/>
      <c r="K31" s="535"/>
      <c r="L31" s="535"/>
      <c r="M31" s="535"/>
      <c r="N31" s="535"/>
      <c r="O31" s="535"/>
    </row>
    <row r="32" spans="1:15">
      <c r="A32" s="523" t="s">
        <v>224</v>
      </c>
      <c r="B32" s="524">
        <v>146788210440.89221</v>
      </c>
      <c r="C32" s="536">
        <v>0.53962569455543585</v>
      </c>
      <c r="D32" s="536">
        <v>2.4193605594941894E-2</v>
      </c>
      <c r="E32" s="536">
        <v>0.13899343680591167</v>
      </c>
      <c r="F32" s="536">
        <v>9.2265593148094821E-2</v>
      </c>
      <c r="G32" s="536">
        <v>0</v>
      </c>
      <c r="H32" s="536">
        <v>1.2553380687846845E-2</v>
      </c>
      <c r="I32" s="536">
        <v>0</v>
      </c>
      <c r="J32" s="536">
        <v>1.5002272479852205E-2</v>
      </c>
      <c r="K32" s="536">
        <v>7.7429060666454374E-3</v>
      </c>
      <c r="L32" s="536">
        <v>0.13418570770398205</v>
      </c>
      <c r="M32" s="536">
        <v>0</v>
      </c>
      <c r="N32" s="536">
        <v>0</v>
      </c>
      <c r="O32" s="536">
        <v>3.543740295728938E-2</v>
      </c>
    </row>
    <row r="33" spans="1:15">
      <c r="A33" s="523" t="s">
        <v>184</v>
      </c>
      <c r="B33" s="524"/>
      <c r="C33" s="535"/>
      <c r="D33" s="535"/>
      <c r="E33" s="535"/>
      <c r="F33" s="535"/>
      <c r="G33" s="535"/>
      <c r="H33" s="535"/>
      <c r="I33" s="535"/>
      <c r="J33" s="535"/>
      <c r="K33" s="535"/>
      <c r="L33" s="535"/>
      <c r="M33" s="535"/>
      <c r="N33" s="535"/>
      <c r="O33" s="535"/>
    </row>
    <row r="34" spans="1:15">
      <c r="A34" s="523" t="s">
        <v>8</v>
      </c>
      <c r="B34" s="524">
        <v>37595797679.14621</v>
      </c>
      <c r="C34" s="535">
        <v>0.17489141420024049</v>
      </c>
      <c r="D34" s="535">
        <v>0.11043803380398291</v>
      </c>
      <c r="E34" s="535">
        <v>7.0060895237514839E-2</v>
      </c>
      <c r="F34" s="535">
        <v>0.25650969503753984</v>
      </c>
      <c r="G34" s="535">
        <v>3.7991799383749261E-2</v>
      </c>
      <c r="H34" s="535">
        <v>0</v>
      </c>
      <c r="I34" s="535">
        <v>1.760769589185265E-2</v>
      </c>
      <c r="J34" s="535">
        <v>2.5414748819755282E-2</v>
      </c>
      <c r="K34" s="535">
        <v>2.5267382296948613E-2</v>
      </c>
      <c r="L34" s="535">
        <v>4.109302750576032E-2</v>
      </c>
      <c r="M34" s="535">
        <v>0.18500287365577731</v>
      </c>
      <c r="N34" s="535">
        <v>0</v>
      </c>
      <c r="O34" s="535">
        <v>5.5722434166878408E-2</v>
      </c>
    </row>
    <row r="35" spans="1:15">
      <c r="A35" s="523" t="s">
        <v>225</v>
      </c>
      <c r="B35" s="527">
        <v>3784341456.3552976</v>
      </c>
      <c r="C35" s="535">
        <v>0.59941037214755322</v>
      </c>
      <c r="D35" s="535">
        <v>0.36969324118044056</v>
      </c>
      <c r="E35" s="535">
        <v>2.9178345537817327E-2</v>
      </c>
      <c r="F35" s="535">
        <v>0</v>
      </c>
      <c r="G35" s="535">
        <v>0</v>
      </c>
      <c r="H35" s="535">
        <v>0</v>
      </c>
      <c r="I35" s="535">
        <v>0</v>
      </c>
      <c r="J35" s="535">
        <v>0</v>
      </c>
      <c r="K35" s="535">
        <v>0</v>
      </c>
      <c r="L35" s="535">
        <v>0</v>
      </c>
      <c r="M35" s="535">
        <v>0</v>
      </c>
      <c r="N35" s="535">
        <v>0</v>
      </c>
      <c r="O35" s="535">
        <v>1.7180411341889022E-3</v>
      </c>
    </row>
    <row r="36" spans="1:15">
      <c r="A36" s="523" t="s">
        <v>9</v>
      </c>
      <c r="B36" s="524"/>
      <c r="C36" s="541"/>
      <c r="D36" s="542"/>
      <c r="E36" s="542"/>
      <c r="F36" s="542"/>
      <c r="G36" s="542"/>
      <c r="H36" s="542"/>
      <c r="I36" s="542"/>
      <c r="J36" s="542"/>
      <c r="K36" s="542"/>
      <c r="L36" s="542"/>
      <c r="M36" s="542"/>
      <c r="N36" s="542"/>
      <c r="O36" s="542"/>
    </row>
    <row r="37" spans="1:15">
      <c r="A37" s="306" t="s">
        <v>10</v>
      </c>
      <c r="B37" s="539">
        <f>SUM(B27:B36)</f>
        <v>426338485181.24396</v>
      </c>
      <c r="C37" s="540"/>
      <c r="D37" s="540"/>
      <c r="E37" s="540"/>
      <c r="F37" s="540"/>
      <c r="G37" s="540"/>
      <c r="H37" s="540"/>
      <c r="I37" s="540"/>
      <c r="J37" s="540"/>
      <c r="K37" s="540"/>
      <c r="L37" s="540"/>
      <c r="M37" s="540"/>
      <c r="N37" s="540"/>
      <c r="O37" s="540"/>
    </row>
    <row r="38" spans="1:15">
      <c r="A38" s="266" t="s">
        <v>226</v>
      </c>
      <c r="B38" s="29"/>
      <c r="C38" s="29"/>
      <c r="D38" s="29"/>
      <c r="E38" s="29"/>
      <c r="F38" s="29"/>
      <c r="G38" s="29"/>
      <c r="H38" s="29"/>
      <c r="I38" s="29"/>
      <c r="J38" s="29"/>
      <c r="K38" s="29"/>
      <c r="L38" s="29"/>
      <c r="M38" s="29"/>
      <c r="N38" s="29"/>
      <c r="O38" s="29"/>
    </row>
    <row r="39" spans="1:15">
      <c r="A39" s="29" t="s">
        <v>227</v>
      </c>
      <c r="B39" s="29"/>
      <c r="C39" s="29"/>
      <c r="D39" s="29"/>
      <c r="E39" s="29"/>
      <c r="F39" s="29"/>
      <c r="G39" s="29"/>
      <c r="H39" s="29"/>
      <c r="I39" s="29"/>
      <c r="J39" s="29"/>
      <c r="K39" s="29"/>
      <c r="L39" s="29"/>
      <c r="M39" s="29"/>
      <c r="N39" s="29"/>
      <c r="O39" s="29"/>
    </row>
    <row r="40" spans="1:15">
      <c r="A40" s="29" t="s">
        <v>228</v>
      </c>
      <c r="B40" s="29"/>
      <c r="C40" s="29"/>
      <c r="D40" s="29"/>
      <c r="E40" s="29"/>
      <c r="F40" s="29"/>
      <c r="G40" s="29"/>
      <c r="H40" s="29"/>
      <c r="I40" s="29"/>
      <c r="J40" s="29"/>
      <c r="K40" s="29"/>
      <c r="L40" s="29"/>
      <c r="M40" s="29"/>
      <c r="N40" s="29"/>
      <c r="O40" s="29"/>
    </row>
    <row r="41" spans="1:15">
      <c r="A41" s="307" t="s">
        <v>344</v>
      </c>
      <c r="B41" s="29"/>
      <c r="C41" s="29"/>
      <c r="D41" s="29"/>
      <c r="E41" s="29"/>
      <c r="F41" s="29"/>
      <c r="G41" s="29"/>
      <c r="H41" s="29"/>
      <c r="I41" s="29"/>
      <c r="J41" s="29"/>
      <c r="K41" s="29"/>
      <c r="L41" s="29"/>
      <c r="M41" s="29"/>
      <c r="N41" s="29"/>
      <c r="O41" s="29"/>
    </row>
    <row r="42" spans="1:15">
      <c r="A42" s="307" t="s">
        <v>343</v>
      </c>
    </row>
    <row r="44" spans="1:15">
      <c r="A44" s="12" t="s">
        <v>286</v>
      </c>
    </row>
    <row r="45" spans="1:15">
      <c r="A45" s="683" t="s">
        <v>0</v>
      </c>
      <c r="B45" s="683" t="s">
        <v>211</v>
      </c>
      <c r="C45" s="686" t="s">
        <v>212</v>
      </c>
      <c r="D45" s="687"/>
      <c r="E45" s="687"/>
      <c r="F45" s="687"/>
      <c r="G45" s="687"/>
      <c r="H45" s="688"/>
      <c r="I45" s="686" t="s">
        <v>213</v>
      </c>
      <c r="J45" s="687"/>
      <c r="K45" s="687"/>
      <c r="L45" s="687"/>
      <c r="M45" s="687"/>
      <c r="N45" s="688"/>
      <c r="O45" s="683" t="s">
        <v>21</v>
      </c>
    </row>
    <row r="46" spans="1:15" ht="60">
      <c r="A46" s="684"/>
      <c r="B46" s="684"/>
      <c r="C46" s="302" t="s">
        <v>214</v>
      </c>
      <c r="D46" s="302" t="s">
        <v>215</v>
      </c>
      <c r="E46" s="302" t="s">
        <v>216</v>
      </c>
      <c r="F46" s="302" t="s">
        <v>217</v>
      </c>
      <c r="G46" s="302" t="s">
        <v>218</v>
      </c>
      <c r="H46" s="302" t="s">
        <v>219</v>
      </c>
      <c r="I46" s="302" t="s">
        <v>214</v>
      </c>
      <c r="J46" s="302" t="s">
        <v>215</v>
      </c>
      <c r="K46" s="302" t="s">
        <v>216</v>
      </c>
      <c r="L46" s="302" t="s">
        <v>217</v>
      </c>
      <c r="M46" s="302" t="s">
        <v>218</v>
      </c>
      <c r="N46" s="302" t="s">
        <v>219</v>
      </c>
      <c r="O46" s="705"/>
    </row>
    <row r="47" spans="1:15">
      <c r="A47" s="685"/>
      <c r="B47" s="685"/>
      <c r="C47" s="689" t="s">
        <v>244</v>
      </c>
      <c r="D47" s="706"/>
      <c r="E47" s="706"/>
      <c r="F47" s="706"/>
      <c r="G47" s="706"/>
      <c r="H47" s="706"/>
      <c r="I47" s="706"/>
      <c r="J47" s="706"/>
      <c r="K47" s="706"/>
      <c r="L47" s="706"/>
      <c r="M47" s="706"/>
      <c r="N47" s="706"/>
      <c r="O47" s="690"/>
    </row>
    <row r="48" spans="1:15">
      <c r="A48" s="523" t="s">
        <v>220</v>
      </c>
      <c r="B48" s="524"/>
      <c r="C48" s="534"/>
      <c r="D48" s="534"/>
      <c r="E48" s="534"/>
      <c r="F48" s="534"/>
      <c r="G48" s="534"/>
      <c r="H48" s="534"/>
      <c r="I48" s="534"/>
      <c r="J48" s="534"/>
      <c r="K48" s="534"/>
      <c r="L48" s="534"/>
      <c r="M48" s="534"/>
      <c r="N48" s="534"/>
      <c r="O48" s="534"/>
    </row>
    <row r="49" spans="1:15">
      <c r="A49" s="523" t="s">
        <v>221</v>
      </c>
      <c r="B49" s="524">
        <v>162988000000</v>
      </c>
      <c r="C49" s="535">
        <v>0.215</v>
      </c>
      <c r="D49" s="535">
        <v>0.16700000000000001</v>
      </c>
      <c r="E49" s="535">
        <v>7.8E-2</v>
      </c>
      <c r="F49" s="535">
        <v>9.5000000000000001E-2</v>
      </c>
      <c r="G49" s="535">
        <v>2.1000000000000001E-2</v>
      </c>
      <c r="H49" s="535">
        <v>0</v>
      </c>
      <c r="I49" s="535">
        <v>6.0000000000000001E-3</v>
      </c>
      <c r="J49" s="535">
        <v>0</v>
      </c>
      <c r="K49" s="535">
        <v>1E-3</v>
      </c>
      <c r="L49" s="535">
        <v>0.1</v>
      </c>
      <c r="M49" s="535">
        <v>0.316</v>
      </c>
      <c r="N49" s="535">
        <v>0</v>
      </c>
      <c r="O49" s="535"/>
    </row>
    <row r="50" spans="1:15">
      <c r="A50" s="523" t="s">
        <v>222</v>
      </c>
      <c r="B50" s="524">
        <v>68734313563.542206</v>
      </c>
      <c r="C50" s="536">
        <v>0.40451876494938588</v>
      </c>
      <c r="D50" s="536">
        <v>7.4482535776298181E-2</v>
      </c>
      <c r="E50" s="536">
        <v>2.5303777005820139E-2</v>
      </c>
      <c r="F50" s="536">
        <v>0.25062232684901137</v>
      </c>
      <c r="G50" s="536">
        <v>3.5367903426323344E-2</v>
      </c>
      <c r="H50" s="536">
        <v>5.7881206155974132E-3</v>
      </c>
      <c r="I50" s="536">
        <v>1.7504562263703114E-3</v>
      </c>
      <c r="J50" s="536">
        <v>2.1609711447781767E-2</v>
      </c>
      <c r="K50" s="536">
        <v>1.9867965645497723E-3</v>
      </c>
      <c r="L50" s="536">
        <v>1.1629068773484824E-2</v>
      </c>
      <c r="M50" s="536">
        <v>0.13892075740115281</v>
      </c>
      <c r="N50" s="536">
        <v>0</v>
      </c>
      <c r="O50" s="536">
        <v>0</v>
      </c>
    </row>
    <row r="51" spans="1:15">
      <c r="A51" s="523" t="s">
        <v>223</v>
      </c>
      <c r="B51" s="524"/>
      <c r="C51" s="535"/>
      <c r="D51" s="535"/>
      <c r="E51" s="535"/>
      <c r="F51" s="535"/>
      <c r="G51" s="535"/>
      <c r="H51" s="535"/>
      <c r="I51" s="535"/>
      <c r="J51" s="535"/>
      <c r="K51" s="535"/>
      <c r="L51" s="535"/>
      <c r="M51" s="535"/>
      <c r="N51" s="535"/>
      <c r="O51" s="535"/>
    </row>
    <row r="52" spans="1:15" ht="17.25">
      <c r="A52" s="523" t="s">
        <v>498</v>
      </c>
      <c r="B52" s="524">
        <v>7321103447.1033802</v>
      </c>
      <c r="C52" s="535">
        <v>0.82080567345430888</v>
      </c>
      <c r="D52" s="535">
        <v>5.9184018615832217E-2</v>
      </c>
      <c r="E52" s="535">
        <v>9.5303249304638252E-2</v>
      </c>
      <c r="F52" s="535"/>
      <c r="G52" s="535"/>
      <c r="H52" s="535">
        <v>2.4707058625220404E-2</v>
      </c>
      <c r="I52" s="535"/>
      <c r="J52" s="535"/>
      <c r="K52" s="535"/>
      <c r="L52" s="535"/>
      <c r="M52" s="535"/>
      <c r="N52" s="535"/>
      <c r="O52" s="535"/>
    </row>
    <row r="53" spans="1:15">
      <c r="A53" s="523" t="s">
        <v>224</v>
      </c>
      <c r="B53" s="524">
        <v>156741018957.82123</v>
      </c>
      <c r="C53" s="536">
        <v>0.49685869132237298</v>
      </c>
      <c r="D53" s="536">
        <v>2.7204308260499566E-2</v>
      </c>
      <c r="E53" s="536">
        <v>0.147189651984897</v>
      </c>
      <c r="F53" s="536">
        <v>9.2558120884988146E-2</v>
      </c>
      <c r="G53" s="536">
        <v>0</v>
      </c>
      <c r="H53" s="536">
        <v>1.3651960622602287E-2</v>
      </c>
      <c r="I53" s="536">
        <v>1.0955925270806377E-5</v>
      </c>
      <c r="J53" s="536">
        <v>1.1118883509329552E-2</v>
      </c>
      <c r="K53" s="536">
        <v>6.0420350653502385E-3</v>
      </c>
      <c r="L53" s="536">
        <v>0.16387974122587423</v>
      </c>
      <c r="M53" s="536">
        <v>0</v>
      </c>
      <c r="N53" s="536">
        <v>0</v>
      </c>
      <c r="O53" s="536">
        <v>4.1485651198815067E-2</v>
      </c>
    </row>
    <row r="54" spans="1:15">
      <c r="A54" s="523" t="s">
        <v>184</v>
      </c>
      <c r="B54" s="524"/>
      <c r="C54" s="535"/>
      <c r="D54" s="535"/>
      <c r="E54" s="535"/>
      <c r="F54" s="535"/>
      <c r="G54" s="535"/>
      <c r="H54" s="535"/>
      <c r="I54" s="535"/>
      <c r="J54" s="535"/>
      <c r="K54" s="535"/>
      <c r="L54" s="535"/>
      <c r="M54" s="535"/>
      <c r="N54" s="535"/>
      <c r="O54" s="535"/>
    </row>
    <row r="55" spans="1:15">
      <c r="A55" s="523" t="s">
        <v>8</v>
      </c>
      <c r="B55" s="527">
        <v>36176390433.054047</v>
      </c>
      <c r="C55" s="535">
        <v>0.13466190296786443</v>
      </c>
      <c r="D55" s="535">
        <v>0.19336361427371795</v>
      </c>
      <c r="E55" s="535">
        <v>6.1149374151334222E-2</v>
      </c>
      <c r="F55" s="535">
        <v>0.16555301107842252</v>
      </c>
      <c r="G55" s="535">
        <v>4.2206287141601309E-2</v>
      </c>
      <c r="H55" s="535">
        <v>0</v>
      </c>
      <c r="I55" s="535">
        <v>1.3136486317787445E-2</v>
      </c>
      <c r="J55" s="535">
        <v>2.0616662795959084E-2</v>
      </c>
      <c r="K55" s="535">
        <v>2.1568073308279749E-2</v>
      </c>
      <c r="L55" s="535">
        <v>5.0725805613622416E-2</v>
      </c>
      <c r="M55" s="535">
        <v>0.24584678351218181</v>
      </c>
      <c r="N55" s="535">
        <v>0</v>
      </c>
      <c r="O55" s="535">
        <v>5.1171998839229023E-2</v>
      </c>
    </row>
    <row r="56" spans="1:15">
      <c r="A56" s="523" t="s">
        <v>225</v>
      </c>
      <c r="B56" s="527">
        <v>4489729726.2015505</v>
      </c>
      <c r="C56" s="535">
        <v>0.65459301411086546</v>
      </c>
      <c r="D56" s="535">
        <v>0.32907980312958351</v>
      </c>
      <c r="E56" s="535">
        <v>1.4960571049030631E-2</v>
      </c>
      <c r="F56" s="535">
        <v>0</v>
      </c>
      <c r="G56" s="535">
        <v>0</v>
      </c>
      <c r="H56" s="535">
        <v>0</v>
      </c>
      <c r="I56" s="535">
        <v>0</v>
      </c>
      <c r="J56" s="535">
        <v>0</v>
      </c>
      <c r="K56" s="535">
        <v>0</v>
      </c>
      <c r="L56" s="535">
        <v>0</v>
      </c>
      <c r="M56" s="535">
        <v>0</v>
      </c>
      <c r="N56" s="535">
        <v>0</v>
      </c>
      <c r="O56" s="535">
        <v>1.3666117105202789E-3</v>
      </c>
    </row>
    <row r="57" spans="1:15">
      <c r="A57" s="523" t="s">
        <v>9</v>
      </c>
      <c r="B57" s="524"/>
      <c r="C57" s="541"/>
      <c r="D57" s="542"/>
      <c r="E57" s="542"/>
      <c r="F57" s="542"/>
      <c r="G57" s="542"/>
      <c r="H57" s="542"/>
      <c r="I57" s="542"/>
      <c r="J57" s="542"/>
      <c r="K57" s="542"/>
      <c r="L57" s="542"/>
      <c r="M57" s="542"/>
      <c r="N57" s="542"/>
      <c r="O57" s="542"/>
    </row>
    <row r="58" spans="1:15">
      <c r="A58" s="306" t="s">
        <v>10</v>
      </c>
      <c r="B58" s="539">
        <f>SUM(B48:B57)</f>
        <v>436450556127.72241</v>
      </c>
      <c r="C58" s="540"/>
      <c r="D58" s="540"/>
      <c r="E58" s="540"/>
      <c r="F58" s="540"/>
      <c r="G58" s="540"/>
      <c r="H58" s="540"/>
      <c r="I58" s="540"/>
      <c r="J58" s="540"/>
      <c r="K58" s="540"/>
      <c r="L58" s="540"/>
      <c r="M58" s="540"/>
      <c r="N58" s="540"/>
      <c r="O58" s="540"/>
    </row>
    <row r="59" spans="1:15">
      <c r="A59" s="266" t="s">
        <v>226</v>
      </c>
      <c r="B59" s="29"/>
      <c r="C59" s="29"/>
      <c r="D59" s="29"/>
      <c r="E59" s="29"/>
      <c r="F59" s="29"/>
      <c r="G59" s="29"/>
      <c r="H59" s="29"/>
      <c r="I59" s="29"/>
      <c r="J59" s="29"/>
      <c r="K59" s="29"/>
      <c r="L59" s="29"/>
      <c r="M59" s="29"/>
      <c r="N59" s="29"/>
      <c r="O59" s="29"/>
    </row>
    <row r="60" spans="1:15">
      <c r="A60" s="29" t="s">
        <v>227</v>
      </c>
      <c r="B60" s="29"/>
      <c r="C60" s="29"/>
      <c r="D60" s="29"/>
      <c r="E60" s="29"/>
      <c r="F60" s="29"/>
      <c r="G60" s="29"/>
      <c r="H60" s="29"/>
      <c r="I60" s="29"/>
      <c r="J60" s="29"/>
      <c r="K60" s="29"/>
      <c r="L60" s="29"/>
      <c r="M60" s="29"/>
      <c r="N60" s="29"/>
      <c r="O60" s="29"/>
    </row>
    <row r="61" spans="1:15">
      <c r="A61" s="29" t="s">
        <v>228</v>
      </c>
      <c r="B61" s="29"/>
      <c r="C61" s="29"/>
      <c r="D61" s="29"/>
      <c r="E61" s="29"/>
      <c r="F61" s="29"/>
      <c r="G61" s="29"/>
      <c r="H61" s="29"/>
      <c r="I61" s="29"/>
      <c r="J61" s="29"/>
      <c r="K61" s="29"/>
      <c r="L61" s="29"/>
      <c r="M61" s="29"/>
      <c r="N61" s="29"/>
      <c r="O61" s="29"/>
    </row>
    <row r="62" spans="1:15">
      <c r="A62" s="307" t="s">
        <v>344</v>
      </c>
    </row>
    <row r="63" spans="1:15">
      <c r="A63" s="307" t="s">
        <v>343</v>
      </c>
    </row>
    <row r="64" spans="1:15">
      <c r="A64" s="307"/>
    </row>
    <row r="65" spans="1:15">
      <c r="A65" s="12" t="s">
        <v>287</v>
      </c>
    </row>
    <row r="66" spans="1:15">
      <c r="A66" s="683" t="s">
        <v>0</v>
      </c>
      <c r="B66" s="683" t="s">
        <v>211</v>
      </c>
      <c r="C66" s="686" t="s">
        <v>212</v>
      </c>
      <c r="D66" s="687"/>
      <c r="E66" s="687"/>
      <c r="F66" s="687"/>
      <c r="G66" s="687"/>
      <c r="H66" s="688"/>
      <c r="I66" s="686" t="s">
        <v>213</v>
      </c>
      <c r="J66" s="687"/>
      <c r="K66" s="687"/>
      <c r="L66" s="687"/>
      <c r="M66" s="687"/>
      <c r="N66" s="688"/>
      <c r="O66" s="683" t="s">
        <v>21</v>
      </c>
    </row>
    <row r="67" spans="1:15" ht="60">
      <c r="A67" s="684"/>
      <c r="B67" s="684"/>
      <c r="C67" s="302" t="s">
        <v>214</v>
      </c>
      <c r="D67" s="302" t="s">
        <v>215</v>
      </c>
      <c r="E67" s="302" t="s">
        <v>216</v>
      </c>
      <c r="F67" s="302" t="s">
        <v>217</v>
      </c>
      <c r="G67" s="302" t="s">
        <v>218</v>
      </c>
      <c r="H67" s="302" t="s">
        <v>219</v>
      </c>
      <c r="I67" s="302" t="s">
        <v>214</v>
      </c>
      <c r="J67" s="302" t="s">
        <v>215</v>
      </c>
      <c r="K67" s="302" t="s">
        <v>216</v>
      </c>
      <c r="L67" s="302" t="s">
        <v>217</v>
      </c>
      <c r="M67" s="302" t="s">
        <v>218</v>
      </c>
      <c r="N67" s="302" t="s">
        <v>219</v>
      </c>
      <c r="O67" s="705"/>
    </row>
    <row r="68" spans="1:15">
      <c r="A68" s="685"/>
      <c r="B68" s="685"/>
      <c r="C68" s="689" t="s">
        <v>244</v>
      </c>
      <c r="D68" s="706"/>
      <c r="E68" s="706"/>
      <c r="F68" s="706"/>
      <c r="G68" s="706"/>
      <c r="H68" s="706"/>
      <c r="I68" s="706"/>
      <c r="J68" s="706"/>
      <c r="K68" s="706"/>
      <c r="L68" s="706"/>
      <c r="M68" s="706"/>
      <c r="N68" s="706"/>
      <c r="O68" s="690"/>
    </row>
    <row r="69" spans="1:15">
      <c r="A69" s="523" t="s">
        <v>220</v>
      </c>
      <c r="B69" s="524"/>
      <c r="C69" s="534"/>
      <c r="D69" s="534"/>
      <c r="E69" s="534"/>
      <c r="F69" s="534"/>
      <c r="G69" s="534"/>
      <c r="H69" s="534"/>
      <c r="I69" s="534"/>
      <c r="J69" s="534"/>
      <c r="K69" s="534"/>
      <c r="L69" s="534"/>
      <c r="M69" s="534"/>
      <c r="N69" s="534"/>
      <c r="O69" s="534"/>
    </row>
    <row r="70" spans="1:15">
      <c r="A70" s="523" t="s">
        <v>221</v>
      </c>
      <c r="B70" s="524">
        <v>165432000000</v>
      </c>
      <c r="C70" s="535">
        <v>0.214</v>
      </c>
      <c r="D70" s="535">
        <v>0.17</v>
      </c>
      <c r="E70" s="535">
        <v>7.2999999999999995E-2</v>
      </c>
      <c r="F70" s="535">
        <v>8.4000000000000005E-2</v>
      </c>
      <c r="G70" s="535">
        <v>1.9E-2</v>
      </c>
      <c r="H70" s="535">
        <v>0</v>
      </c>
      <c r="I70" s="535">
        <v>8.0000000000000002E-3</v>
      </c>
      <c r="J70" s="535">
        <v>0</v>
      </c>
      <c r="K70" s="535">
        <v>0</v>
      </c>
      <c r="L70" s="535">
        <v>9.7000000000000003E-2</v>
      </c>
      <c r="M70" s="535">
        <v>0.33100000000000002</v>
      </c>
      <c r="N70" s="535">
        <v>0</v>
      </c>
      <c r="O70" s="535"/>
    </row>
    <row r="71" spans="1:15">
      <c r="A71" s="523" t="s">
        <v>222</v>
      </c>
      <c r="B71" s="524">
        <v>64585209780.601997</v>
      </c>
      <c r="C71" s="536">
        <v>0.36318850619517656</v>
      </c>
      <c r="D71" s="536">
        <v>8.1303886586155921E-2</v>
      </c>
      <c r="E71" s="536">
        <v>2.3006571763811018E-2</v>
      </c>
      <c r="F71" s="536">
        <v>0.20814084229742222</v>
      </c>
      <c r="G71" s="536">
        <v>3.3418504846939742E-2</v>
      </c>
      <c r="H71" s="536">
        <v>6.6549712771489461E-3</v>
      </c>
      <c r="I71" s="536">
        <v>1.1740830730606608E-3</v>
      </c>
      <c r="J71" s="536">
        <v>2.591071267395122E-2</v>
      </c>
      <c r="K71" s="536">
        <v>1.4704858492846113E-3</v>
      </c>
      <c r="L71" s="536">
        <v>3.9607075487539164E-3</v>
      </c>
      <c r="M71" s="536">
        <v>0.22252087437387119</v>
      </c>
      <c r="N71" s="536">
        <v>0</v>
      </c>
      <c r="O71" s="536">
        <v>2.9249853514423933E-2</v>
      </c>
    </row>
    <row r="72" spans="1:15">
      <c r="A72" s="523" t="s">
        <v>223</v>
      </c>
      <c r="B72" s="524"/>
      <c r="C72" s="535"/>
      <c r="D72" s="535"/>
      <c r="E72" s="535"/>
      <c r="F72" s="535"/>
      <c r="G72" s="535"/>
      <c r="H72" s="535"/>
      <c r="I72" s="535"/>
      <c r="J72" s="535"/>
      <c r="K72" s="535"/>
      <c r="L72" s="535"/>
      <c r="M72" s="535"/>
      <c r="N72" s="535"/>
      <c r="O72" s="535"/>
    </row>
    <row r="73" spans="1:15" ht="17.25">
      <c r="A73" s="523" t="s">
        <v>498</v>
      </c>
      <c r="B73" s="524">
        <v>7992981392.3500004</v>
      </c>
      <c r="C73" s="535">
        <v>0.79961455598733489</v>
      </c>
      <c r="D73" s="535">
        <v>5.6352307375835457E-2</v>
      </c>
      <c r="E73" s="535">
        <v>9.3115656770104888E-2</v>
      </c>
      <c r="F73" s="535">
        <v>0</v>
      </c>
      <c r="G73" s="535">
        <v>0</v>
      </c>
      <c r="H73" s="535">
        <v>5.0917479866724645E-2</v>
      </c>
      <c r="I73" s="535">
        <v>0</v>
      </c>
      <c r="J73" s="535">
        <v>0</v>
      </c>
      <c r="K73" s="535">
        <v>0</v>
      </c>
      <c r="L73" s="535">
        <v>0</v>
      </c>
      <c r="M73" s="535">
        <v>0</v>
      </c>
      <c r="N73" s="535">
        <v>0</v>
      </c>
      <c r="O73" s="535">
        <v>0</v>
      </c>
    </row>
    <row r="74" spans="1:15">
      <c r="A74" s="523" t="s">
        <v>224</v>
      </c>
      <c r="B74" s="524">
        <v>161001068765.77463</v>
      </c>
      <c r="C74" s="536">
        <v>0.49448029324032888</v>
      </c>
      <c r="D74" s="536">
        <v>3.7838970523540939E-2</v>
      </c>
      <c r="E74" s="536">
        <v>0.1400950927827323</v>
      </c>
      <c r="F74" s="536">
        <v>7.3710563897939285E-2</v>
      </c>
      <c r="G74" s="536">
        <v>0</v>
      </c>
      <c r="H74" s="536">
        <v>1.8284481902426191E-2</v>
      </c>
      <c r="I74" s="536">
        <v>1.1473953833813747E-5</v>
      </c>
      <c r="J74" s="536">
        <v>6.8981257325702846E-3</v>
      </c>
      <c r="K74" s="536">
        <v>4.3441045497500264E-3</v>
      </c>
      <c r="L74" s="536">
        <v>0.1717424830465378</v>
      </c>
      <c r="M74" s="536">
        <v>0</v>
      </c>
      <c r="N74" s="536">
        <v>0</v>
      </c>
      <c r="O74" s="536">
        <v>5.2594410370340412E-2</v>
      </c>
    </row>
    <row r="75" spans="1:15">
      <c r="A75" s="523" t="s">
        <v>184</v>
      </c>
      <c r="B75" s="524"/>
      <c r="C75" s="535"/>
      <c r="D75" s="535"/>
      <c r="E75" s="535"/>
      <c r="F75" s="535"/>
      <c r="G75" s="535"/>
      <c r="H75" s="535"/>
      <c r="I75" s="535"/>
      <c r="J75" s="535"/>
      <c r="K75" s="535"/>
      <c r="L75" s="535"/>
      <c r="M75" s="535"/>
      <c r="N75" s="535"/>
      <c r="O75" s="535"/>
    </row>
    <row r="76" spans="1:15">
      <c r="A76" s="523" t="s">
        <v>8</v>
      </c>
      <c r="B76" s="527">
        <v>38088891753.764565</v>
      </c>
      <c r="C76" s="535">
        <v>0.17719669286040513</v>
      </c>
      <c r="D76" s="535">
        <v>0.12426922639953158</v>
      </c>
      <c r="E76" s="535">
        <v>6.766391167325915E-2</v>
      </c>
      <c r="F76" s="535">
        <v>0.12097232553833821</v>
      </c>
      <c r="G76" s="535">
        <v>4.7328105714117011E-2</v>
      </c>
      <c r="H76" s="535">
        <v>0</v>
      </c>
      <c r="I76" s="535">
        <v>5.8855368276958479E-3</v>
      </c>
      <c r="J76" s="535">
        <v>1.7123943216754246E-2</v>
      </c>
      <c r="K76" s="535">
        <v>1.5226674150213518E-2</v>
      </c>
      <c r="L76" s="535">
        <v>1.2272573950561218E-2</v>
      </c>
      <c r="M76" s="535">
        <v>0.35567321099653759</v>
      </c>
      <c r="N76" s="535">
        <v>0</v>
      </c>
      <c r="O76" s="535">
        <v>5.6387798672586545E-2</v>
      </c>
    </row>
    <row r="77" spans="1:15">
      <c r="A77" s="523" t="s">
        <v>225</v>
      </c>
      <c r="B77" s="527">
        <v>5343810023.8388615</v>
      </c>
      <c r="C77" s="535">
        <v>0.66351840457053934</v>
      </c>
      <c r="D77" s="535">
        <v>0.31953653448481606</v>
      </c>
      <c r="E77" s="535">
        <v>1.5835608094064181E-2</v>
      </c>
      <c r="F77" s="535">
        <v>0</v>
      </c>
      <c r="G77" s="535">
        <v>0</v>
      </c>
      <c r="H77" s="535">
        <v>0</v>
      </c>
      <c r="I77" s="535">
        <v>0</v>
      </c>
      <c r="J77" s="535">
        <v>0</v>
      </c>
      <c r="K77" s="535">
        <v>0</v>
      </c>
      <c r="L77" s="535">
        <v>0</v>
      </c>
      <c r="M77" s="535">
        <v>0</v>
      </c>
      <c r="N77" s="535">
        <v>0</v>
      </c>
      <c r="O77" s="535">
        <v>1.1094528505803116E-3</v>
      </c>
    </row>
    <row r="78" spans="1:15">
      <c r="A78" s="523" t="s">
        <v>9</v>
      </c>
      <c r="B78" s="528">
        <v>10956.904857978385</v>
      </c>
      <c r="C78" s="536">
        <v>0.66718606568591443</v>
      </c>
      <c r="D78" s="536">
        <v>3.4153832568940938E-2</v>
      </c>
      <c r="E78" s="536">
        <v>8.8945120459800409E-2</v>
      </c>
      <c r="F78" s="536">
        <v>2.0155051926851325E-3</v>
      </c>
      <c r="G78" s="536">
        <v>0</v>
      </c>
      <c r="H78" s="536">
        <v>0</v>
      </c>
      <c r="I78" s="536">
        <v>0.10582526005596825</v>
      </c>
      <c r="J78" s="536">
        <v>0</v>
      </c>
      <c r="K78" s="536">
        <v>0</v>
      </c>
      <c r="L78" s="536">
        <v>0</v>
      </c>
      <c r="M78" s="536">
        <v>0</v>
      </c>
      <c r="N78" s="536">
        <v>0</v>
      </c>
      <c r="O78" s="536">
        <v>0.10187421603669085</v>
      </c>
    </row>
    <row r="79" spans="1:15">
      <c r="A79" s="306" t="s">
        <v>10</v>
      </c>
      <c r="B79" s="539">
        <f>SUM(B69:B78)</f>
        <v>442443972673.23492</v>
      </c>
      <c r="C79" s="540"/>
      <c r="D79" s="540"/>
      <c r="E79" s="540"/>
      <c r="F79" s="540"/>
      <c r="G79" s="540"/>
      <c r="H79" s="540"/>
      <c r="I79" s="540"/>
      <c r="J79" s="540"/>
      <c r="K79" s="540"/>
      <c r="L79" s="540"/>
      <c r="M79" s="540"/>
      <c r="N79" s="540"/>
      <c r="O79" s="540"/>
    </row>
    <row r="80" spans="1:15">
      <c r="A80" s="266" t="s">
        <v>226</v>
      </c>
      <c r="B80" s="29"/>
      <c r="C80" s="29"/>
      <c r="D80" s="29"/>
      <c r="E80" s="29"/>
      <c r="F80" s="29"/>
      <c r="G80" s="29"/>
      <c r="H80" s="29"/>
      <c r="I80" s="29"/>
      <c r="J80" s="29"/>
      <c r="K80" s="29"/>
      <c r="L80" s="29"/>
      <c r="M80" s="29"/>
      <c r="N80" s="29"/>
      <c r="O80" s="29"/>
    </row>
    <row r="81" spans="1:15">
      <c r="A81" s="29" t="s">
        <v>227</v>
      </c>
      <c r="B81" s="29"/>
      <c r="C81" s="29"/>
      <c r="D81" s="29"/>
      <c r="E81" s="29"/>
      <c r="F81" s="29"/>
      <c r="G81" s="29"/>
      <c r="H81" s="29"/>
      <c r="I81" s="29"/>
      <c r="J81" s="29"/>
      <c r="K81" s="29"/>
      <c r="L81" s="29"/>
      <c r="M81" s="29"/>
      <c r="N81" s="29"/>
      <c r="O81" s="29"/>
    </row>
    <row r="82" spans="1:15">
      <c r="A82" s="29" t="s">
        <v>228</v>
      </c>
      <c r="B82" s="29"/>
      <c r="C82" s="29"/>
      <c r="D82" s="29"/>
      <c r="E82" s="29"/>
      <c r="F82" s="29"/>
      <c r="G82" s="29"/>
      <c r="H82" s="29"/>
      <c r="I82" s="29"/>
      <c r="J82" s="29"/>
      <c r="K82" s="29"/>
      <c r="L82" s="29"/>
      <c r="M82" s="29"/>
      <c r="N82" s="29"/>
      <c r="O82" s="29"/>
    </row>
    <row r="83" spans="1:15">
      <c r="A83" s="307" t="s">
        <v>344</v>
      </c>
    </row>
    <row r="84" spans="1:15">
      <c r="A84" s="307" t="s">
        <v>343</v>
      </c>
    </row>
    <row r="87" spans="1:15">
      <c r="A87" s="12" t="s">
        <v>357</v>
      </c>
    </row>
    <row r="88" spans="1:15">
      <c r="A88" s="683" t="s">
        <v>0</v>
      </c>
      <c r="B88" s="683" t="s">
        <v>211</v>
      </c>
      <c r="C88" s="686" t="s">
        <v>212</v>
      </c>
      <c r="D88" s="687"/>
      <c r="E88" s="687"/>
      <c r="F88" s="687"/>
      <c r="G88" s="687"/>
      <c r="H88" s="688"/>
      <c r="I88" s="686" t="s">
        <v>213</v>
      </c>
      <c r="J88" s="687"/>
      <c r="K88" s="687"/>
      <c r="L88" s="687"/>
      <c r="M88" s="687"/>
      <c r="N88" s="688"/>
      <c r="O88" s="683" t="s">
        <v>21</v>
      </c>
    </row>
    <row r="89" spans="1:15" ht="60">
      <c r="A89" s="684"/>
      <c r="B89" s="684"/>
      <c r="C89" s="302" t="s">
        <v>214</v>
      </c>
      <c r="D89" s="302" t="s">
        <v>215</v>
      </c>
      <c r="E89" s="302" t="s">
        <v>216</v>
      </c>
      <c r="F89" s="302" t="s">
        <v>217</v>
      </c>
      <c r="G89" s="302" t="s">
        <v>218</v>
      </c>
      <c r="H89" s="302" t="s">
        <v>219</v>
      </c>
      <c r="I89" s="302" t="s">
        <v>214</v>
      </c>
      <c r="J89" s="302" t="s">
        <v>215</v>
      </c>
      <c r="K89" s="302" t="s">
        <v>216</v>
      </c>
      <c r="L89" s="302" t="s">
        <v>217</v>
      </c>
      <c r="M89" s="302" t="s">
        <v>218</v>
      </c>
      <c r="N89" s="302" t="s">
        <v>219</v>
      </c>
      <c r="O89" s="705"/>
    </row>
    <row r="90" spans="1:15">
      <c r="A90" s="685"/>
      <c r="B90" s="685"/>
      <c r="C90" s="689" t="s">
        <v>244</v>
      </c>
      <c r="D90" s="706"/>
      <c r="E90" s="706"/>
      <c r="F90" s="706"/>
      <c r="G90" s="706"/>
      <c r="H90" s="706"/>
      <c r="I90" s="706"/>
      <c r="J90" s="706"/>
      <c r="K90" s="706"/>
      <c r="L90" s="706"/>
      <c r="M90" s="706"/>
      <c r="N90" s="706"/>
      <c r="O90" s="690"/>
    </row>
    <row r="91" spans="1:15">
      <c r="A91" s="523" t="s">
        <v>220</v>
      </c>
      <c r="B91" s="524"/>
      <c r="C91" s="534"/>
      <c r="D91" s="534"/>
      <c r="E91" s="534"/>
      <c r="F91" s="534"/>
      <c r="G91" s="534"/>
      <c r="H91" s="534"/>
      <c r="I91" s="534"/>
      <c r="J91" s="534"/>
      <c r="K91" s="534"/>
      <c r="L91" s="534"/>
      <c r="M91" s="534"/>
      <c r="N91" s="534"/>
      <c r="O91" s="534"/>
    </row>
    <row r="92" spans="1:15">
      <c r="A92" s="523" t="s">
        <v>221</v>
      </c>
      <c r="B92" s="524"/>
      <c r="C92" s="535">
        <v>0.22933738797220901</v>
      </c>
      <c r="D92" s="535">
        <v>0.17203967405215401</v>
      </c>
      <c r="E92" s="535">
        <v>6.4481671826011E-2</v>
      </c>
      <c r="F92" s="535">
        <v>7.3273005964800103E-2</v>
      </c>
      <c r="G92" s="535">
        <v>1.55607223494581E-2</v>
      </c>
      <c r="H92" s="535">
        <v>0</v>
      </c>
      <c r="I92" s="535">
        <v>1.6979286244977999E-2</v>
      </c>
      <c r="J92" s="535">
        <v>3.2442557012441099E-4</v>
      </c>
      <c r="K92" s="535">
        <v>5.4612758562693603E-4</v>
      </c>
      <c r="L92" s="535">
        <v>9.0552319474745901E-2</v>
      </c>
      <c r="M92" s="535">
        <v>0.33184036235655501</v>
      </c>
      <c r="N92" s="535">
        <v>0</v>
      </c>
      <c r="O92" s="535">
        <v>5.3569996681060803E-3</v>
      </c>
    </row>
    <row r="93" spans="1:15">
      <c r="A93" s="523" t="s">
        <v>222</v>
      </c>
      <c r="B93" s="524"/>
      <c r="C93" s="536"/>
      <c r="D93" s="536"/>
      <c r="E93" s="536"/>
      <c r="F93" s="536"/>
      <c r="G93" s="536"/>
      <c r="H93" s="536"/>
      <c r="I93" s="536"/>
      <c r="J93" s="536"/>
      <c r="K93" s="536"/>
      <c r="L93" s="536"/>
      <c r="M93" s="536"/>
      <c r="N93" s="536"/>
      <c r="O93" s="536"/>
    </row>
    <row r="94" spans="1:15">
      <c r="A94" s="523" t="s">
        <v>223</v>
      </c>
      <c r="B94" s="529">
        <v>7257008534.7971573</v>
      </c>
      <c r="C94" s="536">
        <v>0.6149170865425434</v>
      </c>
      <c r="D94" s="536">
        <v>0.18995540275933692</v>
      </c>
      <c r="E94" s="536">
        <v>0.10131027145121332</v>
      </c>
      <c r="F94" s="536">
        <v>3.699485040737888E-5</v>
      </c>
      <c r="G94" s="536">
        <v>2.2589252699382528E-2</v>
      </c>
      <c r="H94" s="536">
        <v>7.252417793677338E-3</v>
      </c>
      <c r="I94" s="536"/>
      <c r="J94" s="536"/>
      <c r="K94" s="536">
        <v>1.6179814249630175E-2</v>
      </c>
      <c r="L94" s="536"/>
      <c r="M94" s="536">
        <v>4.7758759653808991E-2</v>
      </c>
      <c r="N94" s="536"/>
      <c r="O94" s="536"/>
    </row>
    <row r="95" spans="1:15" ht="17.25">
      <c r="A95" s="523" t="s">
        <v>498</v>
      </c>
      <c r="B95" s="524"/>
      <c r="C95" s="535">
        <v>0.80314684945757087</v>
      </c>
      <c r="D95" s="535">
        <v>7.2448043812820384E-2</v>
      </c>
      <c r="E95" s="535">
        <v>6.0633612192015823E-2</v>
      </c>
      <c r="F95" s="535">
        <v>0</v>
      </c>
      <c r="G95" s="535">
        <v>0</v>
      </c>
      <c r="H95" s="535">
        <v>6.3771494537592968E-2</v>
      </c>
      <c r="I95" s="535">
        <v>0</v>
      </c>
      <c r="J95" s="535">
        <v>0</v>
      </c>
      <c r="K95" s="535">
        <v>0</v>
      </c>
      <c r="L95" s="535">
        <v>0</v>
      </c>
      <c r="M95" s="535">
        <v>0</v>
      </c>
      <c r="N95" s="535">
        <v>0</v>
      </c>
      <c r="O95" s="535">
        <v>0</v>
      </c>
    </row>
    <row r="96" spans="1:15">
      <c r="A96" s="523" t="s">
        <v>224</v>
      </c>
      <c r="B96" s="529">
        <v>147313326177.37106</v>
      </c>
      <c r="C96" s="535">
        <v>0.50220153478345997</v>
      </c>
      <c r="D96" s="535">
        <v>5.6399575952436727E-2</v>
      </c>
      <c r="E96" s="535">
        <v>0.14351642195749989</v>
      </c>
      <c r="F96" s="535">
        <v>6.3844794610766462E-2</v>
      </c>
      <c r="G96" s="535">
        <v>4.4111043200786855E-2</v>
      </c>
      <c r="H96" s="535">
        <v>0</v>
      </c>
      <c r="I96" s="535">
        <v>0</v>
      </c>
      <c r="J96" s="535">
        <v>5.4098403996538152E-3</v>
      </c>
      <c r="K96" s="535">
        <v>3.7054562362289242E-3</v>
      </c>
      <c r="L96" s="535">
        <v>0.16234726230175661</v>
      </c>
      <c r="M96" s="535">
        <v>0</v>
      </c>
      <c r="N96" s="535">
        <v>0</v>
      </c>
      <c r="O96" s="535">
        <v>1.8464070557410672E-2</v>
      </c>
    </row>
    <row r="97" spans="1:15">
      <c r="A97" s="523" t="s">
        <v>369</v>
      </c>
      <c r="B97" s="524"/>
      <c r="C97" s="535">
        <v>9.4700000000000006E-2</v>
      </c>
      <c r="D97" s="535">
        <v>0.59399999999999997</v>
      </c>
      <c r="E97" s="535">
        <v>0.1479</v>
      </c>
      <c r="F97" s="535">
        <v>8.3799999999999999E-2</v>
      </c>
      <c r="G97" s="535">
        <v>3.56E-2</v>
      </c>
      <c r="H97" s="535"/>
      <c r="I97" s="535"/>
      <c r="J97" s="535">
        <v>4.3999999999999997E-2</v>
      </c>
      <c r="K97" s="535"/>
      <c r="L97" s="535"/>
      <c r="M97" s="535"/>
      <c r="N97" s="535"/>
      <c r="O97" s="535"/>
    </row>
    <row r="98" spans="1:15">
      <c r="A98" s="523" t="s">
        <v>363</v>
      </c>
      <c r="B98" s="530">
        <v>661.4</v>
      </c>
      <c r="C98" s="535">
        <v>0.4385</v>
      </c>
      <c r="D98" s="535">
        <v>0.4093</v>
      </c>
      <c r="E98" s="535">
        <v>0.1376</v>
      </c>
      <c r="F98" s="535"/>
      <c r="G98" s="535"/>
      <c r="H98" s="535"/>
      <c r="I98" s="535"/>
      <c r="J98" s="535">
        <v>6.7000000000000002E-3</v>
      </c>
      <c r="K98" s="535"/>
      <c r="L98" s="535"/>
      <c r="M98" s="535"/>
      <c r="N98" s="535"/>
      <c r="O98" s="535">
        <v>7.6E-3</v>
      </c>
    </row>
    <row r="99" spans="1:15">
      <c r="A99" s="523" t="s">
        <v>8</v>
      </c>
      <c r="B99" s="527">
        <v>36103916118.802879</v>
      </c>
      <c r="C99" s="535">
        <v>0.17774899020941778</v>
      </c>
      <c r="D99" s="535">
        <v>0.17967652813596541</v>
      </c>
      <c r="E99" s="535">
        <v>6.7469387812342796E-2</v>
      </c>
      <c r="F99" s="535">
        <v>7.1192600647099077E-2</v>
      </c>
      <c r="G99" s="535">
        <v>4.3575031045037294E-2</v>
      </c>
      <c r="H99" s="535">
        <v>0</v>
      </c>
      <c r="I99" s="535">
        <v>7.9262001038466997E-4</v>
      </c>
      <c r="J99" s="535">
        <v>1.2221539630887637E-2</v>
      </c>
      <c r="K99" s="535">
        <v>6.795963606351472E-3</v>
      </c>
      <c r="L99" s="535">
        <v>3.0577481895744962E-3</v>
      </c>
      <c r="M99" s="535">
        <v>0.37819964861663863</v>
      </c>
      <c r="N99" s="535">
        <v>0</v>
      </c>
      <c r="O99" s="535">
        <v>5.9269942096300765E-2</v>
      </c>
    </row>
    <row r="100" spans="1:15">
      <c r="A100" s="523" t="s">
        <v>225</v>
      </c>
      <c r="B100" s="527"/>
      <c r="C100" s="535">
        <v>0.69844836674185051</v>
      </c>
      <c r="D100" s="535">
        <v>0.27560867595191785</v>
      </c>
      <c r="E100" s="535">
        <v>2.5022701745775283E-2</v>
      </c>
      <c r="F100" s="535"/>
      <c r="G100" s="535"/>
      <c r="H100" s="535"/>
      <c r="I100" s="535"/>
      <c r="J100" s="535"/>
      <c r="K100" s="535"/>
      <c r="L100" s="535"/>
      <c r="M100" s="535"/>
      <c r="N100" s="535"/>
      <c r="O100" s="535">
        <v>9.2025556045617879E-4</v>
      </c>
    </row>
    <row r="101" spans="1:15">
      <c r="A101" s="523" t="s">
        <v>9</v>
      </c>
      <c r="B101" s="528"/>
      <c r="C101" s="536">
        <v>0.59407765064259388</v>
      </c>
      <c r="D101" s="536">
        <v>0.11080353913040684</v>
      </c>
      <c r="E101" s="536">
        <v>3.6864696817972303E-2</v>
      </c>
      <c r="F101" s="536">
        <v>2.4014234237376688E-3</v>
      </c>
      <c r="G101" s="536">
        <v>0</v>
      </c>
      <c r="H101" s="536">
        <v>0</v>
      </c>
      <c r="I101" s="536">
        <v>9.9522978878930232E-2</v>
      </c>
      <c r="J101" s="536">
        <v>0</v>
      </c>
      <c r="K101" s="536">
        <v>0</v>
      </c>
      <c r="L101" s="536">
        <v>0</v>
      </c>
      <c r="M101" s="536">
        <v>0</v>
      </c>
      <c r="N101" s="536">
        <v>0</v>
      </c>
      <c r="O101" s="536">
        <v>0.15632971110635932</v>
      </c>
    </row>
    <row r="102" spans="1:15">
      <c r="A102" s="306" t="s">
        <v>10</v>
      </c>
      <c r="B102" s="539"/>
      <c r="C102" s="540"/>
      <c r="D102" s="540"/>
      <c r="E102" s="540"/>
      <c r="F102" s="540"/>
      <c r="G102" s="540"/>
      <c r="H102" s="540"/>
      <c r="I102" s="540"/>
      <c r="J102" s="540"/>
      <c r="K102" s="540"/>
      <c r="L102" s="540"/>
      <c r="M102" s="540"/>
      <c r="N102" s="540"/>
      <c r="O102" s="540"/>
    </row>
    <row r="103" spans="1:15">
      <c r="A103" s="266" t="s">
        <v>226</v>
      </c>
      <c r="B103" s="29"/>
      <c r="C103" s="29"/>
      <c r="D103" s="29"/>
      <c r="E103" s="29"/>
      <c r="F103" s="29"/>
      <c r="G103" s="29"/>
      <c r="H103" s="29"/>
      <c r="I103" s="29"/>
      <c r="J103" s="29"/>
      <c r="K103" s="29"/>
      <c r="L103" s="29"/>
      <c r="M103" s="29"/>
      <c r="N103" s="29"/>
      <c r="O103" s="29"/>
    </row>
    <row r="104" spans="1:15">
      <c r="A104" s="29" t="s">
        <v>227</v>
      </c>
      <c r="B104" s="29"/>
      <c r="C104" s="29"/>
      <c r="D104" s="29"/>
      <c r="E104" s="29"/>
      <c r="F104" s="29"/>
      <c r="G104" s="29"/>
      <c r="H104" s="29"/>
      <c r="I104" s="29"/>
      <c r="J104" s="29"/>
      <c r="K104" s="29"/>
      <c r="L104" s="29"/>
      <c r="M104" s="29"/>
      <c r="N104" s="29"/>
      <c r="O104" s="29"/>
    </row>
    <row r="105" spans="1:15">
      <c r="A105" s="29" t="s">
        <v>228</v>
      </c>
      <c r="B105" s="29"/>
      <c r="C105" s="29"/>
      <c r="D105" s="29"/>
      <c r="E105" s="29"/>
      <c r="F105" s="29"/>
      <c r="G105" s="29"/>
      <c r="H105" s="29"/>
      <c r="I105" s="29"/>
      <c r="J105" s="29"/>
      <c r="K105" s="29"/>
      <c r="L105" s="29"/>
      <c r="M105" s="29"/>
      <c r="N105" s="29"/>
      <c r="O105" s="29"/>
    </row>
    <row r="106" spans="1:15">
      <c r="A106" s="307" t="s">
        <v>344</v>
      </c>
    </row>
    <row r="107" spans="1:15">
      <c r="A107" s="307" t="s">
        <v>343</v>
      </c>
    </row>
    <row r="110" spans="1:15">
      <c r="A110" s="12" t="s">
        <v>374</v>
      </c>
    </row>
    <row r="111" spans="1:15">
      <c r="A111" s="683" t="s">
        <v>0</v>
      </c>
      <c r="B111" s="683" t="s">
        <v>211</v>
      </c>
      <c r="C111" s="686" t="s">
        <v>212</v>
      </c>
      <c r="D111" s="687"/>
      <c r="E111" s="687"/>
      <c r="F111" s="687"/>
      <c r="G111" s="687"/>
      <c r="H111" s="688"/>
      <c r="I111" s="686" t="s">
        <v>213</v>
      </c>
      <c r="J111" s="687"/>
      <c r="K111" s="687"/>
      <c r="L111" s="687"/>
      <c r="M111" s="687"/>
      <c r="N111" s="688"/>
      <c r="O111" s="683" t="s">
        <v>21</v>
      </c>
    </row>
    <row r="112" spans="1:15" ht="60">
      <c r="A112" s="684"/>
      <c r="B112" s="684"/>
      <c r="C112" s="302" t="s">
        <v>214</v>
      </c>
      <c r="D112" s="302" t="s">
        <v>215</v>
      </c>
      <c r="E112" s="302" t="s">
        <v>216</v>
      </c>
      <c r="F112" s="302" t="s">
        <v>217</v>
      </c>
      <c r="G112" s="302" t="s">
        <v>218</v>
      </c>
      <c r="H112" s="302" t="s">
        <v>219</v>
      </c>
      <c r="I112" s="302" t="s">
        <v>214</v>
      </c>
      <c r="J112" s="302" t="s">
        <v>215</v>
      </c>
      <c r="K112" s="302" t="s">
        <v>216</v>
      </c>
      <c r="L112" s="302" t="s">
        <v>217</v>
      </c>
      <c r="M112" s="302" t="s">
        <v>218</v>
      </c>
      <c r="N112" s="302" t="s">
        <v>219</v>
      </c>
      <c r="O112" s="705"/>
    </row>
    <row r="113" spans="1:15">
      <c r="A113" s="685"/>
      <c r="B113" s="685"/>
      <c r="C113" s="689" t="s">
        <v>244</v>
      </c>
      <c r="D113" s="706"/>
      <c r="E113" s="706"/>
      <c r="F113" s="706"/>
      <c r="G113" s="706"/>
      <c r="H113" s="706"/>
      <c r="I113" s="706"/>
      <c r="J113" s="706"/>
      <c r="K113" s="706"/>
      <c r="L113" s="706"/>
      <c r="M113" s="706"/>
      <c r="N113" s="706"/>
      <c r="O113" s="690"/>
    </row>
    <row r="114" spans="1:15">
      <c r="A114" s="523" t="s">
        <v>220</v>
      </c>
      <c r="B114" s="524"/>
      <c r="C114" s="534"/>
      <c r="D114" s="534"/>
      <c r="E114" s="534"/>
      <c r="F114" s="534"/>
      <c r="G114" s="534"/>
      <c r="H114" s="534"/>
      <c r="I114" s="534"/>
      <c r="J114" s="534"/>
      <c r="K114" s="534"/>
      <c r="L114" s="534"/>
      <c r="M114" s="534"/>
      <c r="N114" s="534"/>
      <c r="O114" s="534"/>
    </row>
    <row r="115" spans="1:15">
      <c r="A115" s="523" t="s">
        <v>221</v>
      </c>
      <c r="B115" s="524">
        <v>174479875466.43887</v>
      </c>
      <c r="C115" s="535">
        <v>0.25378074826361441</v>
      </c>
      <c r="D115" s="535">
        <v>0.19311613928074198</v>
      </c>
      <c r="E115" s="535">
        <v>6.564621694603294E-2</v>
      </c>
      <c r="F115" s="535">
        <v>7.7939831268080517E-2</v>
      </c>
      <c r="G115" s="535">
        <v>1.8516127746298412E-2</v>
      </c>
      <c r="H115" s="535">
        <v>0</v>
      </c>
      <c r="I115" s="535">
        <v>2.2782997873493815E-2</v>
      </c>
      <c r="J115" s="535">
        <v>2.7798310591629237E-3</v>
      </c>
      <c r="K115" s="535">
        <v>2.5301404247436948E-3</v>
      </c>
      <c r="L115" s="535">
        <v>5.7325567408045106E-2</v>
      </c>
      <c r="M115" s="535">
        <v>0.30177482495654695</v>
      </c>
      <c r="N115" s="535">
        <v>0</v>
      </c>
      <c r="O115" s="535">
        <v>3.8075746014602329E-3</v>
      </c>
    </row>
    <row r="116" spans="1:15">
      <c r="A116" s="523" t="s">
        <v>222</v>
      </c>
      <c r="B116" s="524">
        <v>52824450294.568199</v>
      </c>
      <c r="C116" s="536">
        <v>0.35268463283407075</v>
      </c>
      <c r="D116" s="536">
        <v>8.065038534561618E-2</v>
      </c>
      <c r="E116" s="536">
        <v>1.9118255313011152E-2</v>
      </c>
      <c r="F116" s="536">
        <v>0.15512865958105837</v>
      </c>
      <c r="G116" s="536">
        <v>2.2107090507547878E-2</v>
      </c>
      <c r="H116" s="536">
        <v>7.2541184701084291E-3</v>
      </c>
      <c r="I116" s="536">
        <v>5.0929840575766857E-3</v>
      </c>
      <c r="J116" s="536">
        <v>2.5189734629014505E-2</v>
      </c>
      <c r="K116" s="536">
        <v>5.5762030248260742E-4</v>
      </c>
      <c r="L116" s="536">
        <v>3.3520419438616304E-3</v>
      </c>
      <c r="M116" s="536">
        <v>0.29277570397817482</v>
      </c>
      <c r="N116" s="536">
        <v>0</v>
      </c>
      <c r="O116" s="536">
        <v>3.6088773037477019E-2</v>
      </c>
    </row>
    <row r="117" spans="1:15">
      <c r="A117" s="523" t="s">
        <v>223</v>
      </c>
      <c r="B117" s="524">
        <v>7784000000</v>
      </c>
      <c r="C117" s="535">
        <v>0.58567940338688096</v>
      </c>
      <c r="D117" s="535">
        <v>0.24313125275443601</v>
      </c>
      <c r="E117" s="535">
        <v>4.5055505655196199E-2</v>
      </c>
      <c r="F117" s="535">
        <v>5.6918905659526114E-6</v>
      </c>
      <c r="G117" s="535">
        <v>3.1373588556725097E-2</v>
      </c>
      <c r="H117" s="535">
        <v>1.01E-2</v>
      </c>
      <c r="I117" s="536"/>
      <c r="J117" s="536"/>
      <c r="K117" s="536">
        <v>7.7999999999999996E-3</v>
      </c>
      <c r="L117" s="536"/>
      <c r="M117" s="536">
        <v>7.3700000000000002E-2</v>
      </c>
      <c r="N117" s="536"/>
      <c r="O117" s="535">
        <v>1.2999999999999999E-2</v>
      </c>
    </row>
    <row r="118" spans="1:15" ht="17.25">
      <c r="A118" s="523" t="s">
        <v>498</v>
      </c>
      <c r="B118" s="531">
        <v>9250502808.4667625</v>
      </c>
      <c r="C118" s="535">
        <v>0.80836528332407043</v>
      </c>
      <c r="D118" s="535">
        <v>7.7359566306451535E-2</v>
      </c>
      <c r="E118" s="535">
        <v>5.2900404352447222E-2</v>
      </c>
      <c r="F118" s="535">
        <v>0</v>
      </c>
      <c r="G118" s="535">
        <v>0</v>
      </c>
      <c r="H118" s="535">
        <v>6.1374746017031086E-2</v>
      </c>
      <c r="I118" s="535"/>
      <c r="J118" s="535"/>
      <c r="K118" s="535"/>
      <c r="L118" s="535"/>
      <c r="M118" s="535"/>
      <c r="N118" s="535"/>
      <c r="O118" s="535"/>
    </row>
    <row r="119" spans="1:15">
      <c r="A119" s="523" t="s">
        <v>224</v>
      </c>
      <c r="B119" s="524">
        <v>133568012878.69675</v>
      </c>
      <c r="C119" s="537">
        <v>0.52817712400973349</v>
      </c>
      <c r="D119" s="537">
        <v>6.1112479616210212E-2</v>
      </c>
      <c r="E119" s="537">
        <v>0.13830544463751512</v>
      </c>
      <c r="F119" s="537">
        <v>5.9008961650140836E-2</v>
      </c>
      <c r="G119" s="537">
        <v>4.5348804905886775E-2</v>
      </c>
      <c r="H119" s="537">
        <v>0</v>
      </c>
      <c r="I119" s="537">
        <v>3.2440067672206618E-3</v>
      </c>
      <c r="J119" s="537">
        <v>3.6115556472856181E-3</v>
      </c>
      <c r="K119" s="537">
        <v>2.2710630398221324E-3</v>
      </c>
      <c r="L119" s="537">
        <v>0.13944889538497554</v>
      </c>
      <c r="M119" s="537">
        <v>0</v>
      </c>
      <c r="N119" s="537">
        <v>0</v>
      </c>
      <c r="O119" s="537">
        <v>1.9471664341209699E-2</v>
      </c>
    </row>
    <row r="120" spans="1:15">
      <c r="A120" s="523" t="s">
        <v>369</v>
      </c>
      <c r="B120" s="524"/>
      <c r="C120" s="535">
        <v>0.10299999999999999</v>
      </c>
      <c r="D120" s="535">
        <v>0.59799999999999998</v>
      </c>
      <c r="E120" s="535">
        <v>0.155</v>
      </c>
      <c r="F120" s="535">
        <v>6.9000000000000006E-2</v>
      </c>
      <c r="G120" s="535">
        <v>3.3000000000000002E-2</v>
      </c>
      <c r="H120" s="535"/>
      <c r="I120" s="535"/>
      <c r="J120" s="535">
        <v>1E-4</v>
      </c>
      <c r="K120" s="535">
        <v>1.0699999999999999E-2</v>
      </c>
      <c r="L120" s="535">
        <v>0</v>
      </c>
      <c r="M120" s="535">
        <v>1.6E-2</v>
      </c>
      <c r="N120" s="535"/>
      <c r="O120" s="535"/>
    </row>
    <row r="121" spans="1:15">
      <c r="A121" s="523" t="s">
        <v>363</v>
      </c>
      <c r="B121" s="530">
        <v>683.9</v>
      </c>
      <c r="C121" s="538">
        <v>0.3543</v>
      </c>
      <c r="D121" s="538">
        <v>0.47339999999999999</v>
      </c>
      <c r="E121" s="538">
        <v>0.16</v>
      </c>
      <c r="F121" s="538"/>
      <c r="G121" s="538"/>
      <c r="H121" s="538"/>
      <c r="I121" s="538"/>
      <c r="J121" s="538">
        <v>5.0000000000000001E-3</v>
      </c>
      <c r="K121" s="538"/>
      <c r="L121" s="538"/>
      <c r="M121" s="538"/>
      <c r="N121" s="538"/>
      <c r="O121" s="538">
        <v>7.1999999999999998E-3</v>
      </c>
    </row>
    <row r="122" spans="1:15">
      <c r="A122" s="523" t="s">
        <v>8</v>
      </c>
      <c r="B122" s="532">
        <v>40285.603265135767</v>
      </c>
      <c r="C122" s="538">
        <v>0.21885849293058815</v>
      </c>
      <c r="D122" s="538">
        <v>0.12733698893055795</v>
      </c>
      <c r="E122" s="535">
        <v>6.734591758168533E-2</v>
      </c>
      <c r="F122" s="535">
        <v>0.10317332557491263</v>
      </c>
      <c r="G122" s="535">
        <v>4.4025661873436005E-2</v>
      </c>
      <c r="H122" s="535"/>
      <c r="I122" s="535">
        <v>5.0473388887254892E-3</v>
      </c>
      <c r="J122" s="535">
        <v>1.3268595877229053E-2</v>
      </c>
      <c r="K122" s="535">
        <v>9.5429709132984521E-3</v>
      </c>
      <c r="L122" s="535">
        <v>3.2415282493458842E-3</v>
      </c>
      <c r="M122" s="535">
        <v>0.35015629356734612</v>
      </c>
      <c r="N122" s="535"/>
      <c r="O122" s="535">
        <v>5.8002885612874838E-2</v>
      </c>
    </row>
    <row r="123" spans="1:15">
      <c r="A123" s="523" t="s">
        <v>225</v>
      </c>
      <c r="B123" s="533">
        <v>7241.7854086360003</v>
      </c>
      <c r="C123" s="535">
        <v>0.73281634081398173</v>
      </c>
      <c r="D123" s="535">
        <v>0.23001129442302132</v>
      </c>
      <c r="E123" s="535">
        <v>3.3913449166843676E-2</v>
      </c>
      <c r="F123" s="535"/>
      <c r="G123" s="535">
        <v>2.1219115307225464E-3</v>
      </c>
      <c r="H123" s="535"/>
      <c r="I123" s="535"/>
      <c r="J123" s="535"/>
      <c r="K123" s="535"/>
      <c r="L123" s="535"/>
      <c r="M123" s="535"/>
      <c r="N123" s="535"/>
      <c r="O123" s="535">
        <v>1.13700406543086E-3</v>
      </c>
    </row>
    <row r="124" spans="1:15">
      <c r="A124" s="523" t="s">
        <v>9</v>
      </c>
      <c r="B124" s="528">
        <v>12414.490903468348</v>
      </c>
      <c r="C124" s="536">
        <v>0.61834254851722947</v>
      </c>
      <c r="D124" s="536">
        <v>6.4317332857704385E-2</v>
      </c>
      <c r="E124" s="536">
        <v>0.1115822099549339</v>
      </c>
      <c r="F124" s="536">
        <v>2.4708082483791225E-3</v>
      </c>
      <c r="G124" s="536">
        <v>0</v>
      </c>
      <c r="H124" s="536">
        <v>0</v>
      </c>
      <c r="I124" s="536">
        <v>9.9999077225917402E-2</v>
      </c>
      <c r="J124" s="536">
        <v>0</v>
      </c>
      <c r="K124" s="536">
        <v>0</v>
      </c>
      <c r="L124" s="536">
        <v>0</v>
      </c>
      <c r="M124" s="536">
        <v>0</v>
      </c>
      <c r="N124" s="536">
        <v>0</v>
      </c>
      <c r="O124" s="536">
        <v>0.1032898267429767</v>
      </c>
    </row>
    <row r="125" spans="1:15">
      <c r="A125" s="306" t="s">
        <v>10</v>
      </c>
      <c r="B125" s="539">
        <f>SUM(B114:B124)</f>
        <v>377906902073.9502</v>
      </c>
      <c r="C125" s="540"/>
      <c r="D125" s="540"/>
      <c r="E125" s="540"/>
      <c r="F125" s="540"/>
      <c r="G125" s="540"/>
      <c r="H125" s="540"/>
      <c r="I125" s="540"/>
      <c r="J125" s="540"/>
      <c r="K125" s="540"/>
      <c r="L125" s="540"/>
      <c r="M125" s="540"/>
      <c r="N125" s="540"/>
      <c r="O125" s="540"/>
    </row>
    <row r="126" spans="1:15">
      <c r="A126" s="266" t="s">
        <v>226</v>
      </c>
      <c r="B126" s="29"/>
      <c r="C126" s="29"/>
      <c r="D126" s="29"/>
      <c r="E126" s="29"/>
      <c r="F126" s="29"/>
      <c r="G126" s="29"/>
      <c r="H126" s="29"/>
      <c r="I126" s="29"/>
      <c r="J126" s="29"/>
      <c r="K126" s="29"/>
      <c r="L126" s="29"/>
      <c r="M126" s="29"/>
      <c r="N126" s="29"/>
      <c r="O126" s="29"/>
    </row>
    <row r="127" spans="1:15">
      <c r="A127" s="29" t="s">
        <v>227</v>
      </c>
      <c r="B127" s="29"/>
      <c r="C127" s="29"/>
      <c r="D127" s="29"/>
      <c r="E127" s="29"/>
      <c r="F127" s="29"/>
      <c r="G127" s="29"/>
      <c r="H127" s="29"/>
      <c r="I127" s="29"/>
      <c r="J127" s="29"/>
      <c r="K127" s="29"/>
      <c r="L127" s="29"/>
      <c r="M127" s="29"/>
      <c r="N127" s="29"/>
      <c r="O127" s="29"/>
    </row>
    <row r="128" spans="1:15">
      <c r="A128" s="29" t="s">
        <v>228</v>
      </c>
      <c r="B128" s="29"/>
      <c r="C128" s="29"/>
      <c r="D128" s="29"/>
      <c r="E128" s="29"/>
      <c r="F128" s="29"/>
      <c r="G128" s="29"/>
      <c r="H128" s="29"/>
      <c r="I128" s="29"/>
      <c r="J128" s="29"/>
      <c r="K128" s="29"/>
      <c r="L128" s="29"/>
      <c r="M128" s="29"/>
      <c r="N128" s="29"/>
      <c r="O128" s="29"/>
    </row>
    <row r="129" spans="1:15">
      <c r="A129" s="307" t="s">
        <v>344</v>
      </c>
    </row>
    <row r="130" spans="1:15">
      <c r="A130" s="307" t="s">
        <v>343</v>
      </c>
    </row>
    <row r="133" spans="1:15">
      <c r="A133" s="12" t="s">
        <v>386</v>
      </c>
    </row>
    <row r="134" spans="1:15">
      <c r="A134" s="683" t="s">
        <v>0</v>
      </c>
      <c r="B134" s="683" t="s">
        <v>211</v>
      </c>
      <c r="C134" s="686" t="s">
        <v>212</v>
      </c>
      <c r="D134" s="687"/>
      <c r="E134" s="687"/>
      <c r="F134" s="687"/>
      <c r="G134" s="687"/>
      <c r="H134" s="688"/>
      <c r="I134" s="686" t="s">
        <v>213</v>
      </c>
      <c r="J134" s="687"/>
      <c r="K134" s="687"/>
      <c r="L134" s="687"/>
      <c r="M134" s="687"/>
      <c r="N134" s="688"/>
      <c r="O134" s="683" t="s">
        <v>21</v>
      </c>
    </row>
    <row r="135" spans="1:15" ht="60">
      <c r="A135" s="684"/>
      <c r="B135" s="684"/>
      <c r="C135" s="302" t="s">
        <v>214</v>
      </c>
      <c r="D135" s="302" t="s">
        <v>215</v>
      </c>
      <c r="E135" s="302" t="s">
        <v>216</v>
      </c>
      <c r="F135" s="302" t="s">
        <v>217</v>
      </c>
      <c r="G135" s="302" t="s">
        <v>218</v>
      </c>
      <c r="H135" s="302" t="s">
        <v>219</v>
      </c>
      <c r="I135" s="302" t="s">
        <v>214</v>
      </c>
      <c r="J135" s="302" t="s">
        <v>215</v>
      </c>
      <c r="K135" s="302" t="s">
        <v>216</v>
      </c>
      <c r="L135" s="302" t="s">
        <v>217</v>
      </c>
      <c r="M135" s="302" t="s">
        <v>218</v>
      </c>
      <c r="N135" s="302" t="s">
        <v>219</v>
      </c>
      <c r="O135" s="705"/>
    </row>
    <row r="136" spans="1:15">
      <c r="A136" s="685"/>
      <c r="B136" s="685"/>
      <c r="C136" s="689" t="s">
        <v>244</v>
      </c>
      <c r="D136" s="706"/>
      <c r="E136" s="706"/>
      <c r="F136" s="706"/>
      <c r="G136" s="706"/>
      <c r="H136" s="706"/>
      <c r="I136" s="706"/>
      <c r="J136" s="706"/>
      <c r="K136" s="706"/>
      <c r="L136" s="706"/>
      <c r="M136" s="706"/>
      <c r="N136" s="706"/>
      <c r="O136" s="690"/>
    </row>
    <row r="137" spans="1:15">
      <c r="A137" s="266" t="s">
        <v>220</v>
      </c>
      <c r="B137" s="524"/>
      <c r="C137" s="534"/>
      <c r="D137" s="534"/>
      <c r="E137" s="534"/>
      <c r="F137" s="534"/>
      <c r="G137" s="534"/>
      <c r="H137" s="534"/>
      <c r="I137" s="534"/>
      <c r="J137" s="534"/>
      <c r="K137" s="534"/>
      <c r="L137" s="534"/>
      <c r="M137" s="534"/>
      <c r="N137" s="534"/>
      <c r="O137" s="534"/>
    </row>
    <row r="138" spans="1:15">
      <c r="A138" s="266" t="s">
        <v>221</v>
      </c>
      <c r="B138" s="545">
        <v>210512.27510484055</v>
      </c>
      <c r="C138" s="535">
        <v>0.1894884201808</v>
      </c>
      <c r="D138" s="535">
        <v>0.200434554707623</v>
      </c>
      <c r="E138" s="535">
        <v>6.1034624874949601E-2</v>
      </c>
      <c r="F138" s="535">
        <v>9.1514554839339901E-2</v>
      </c>
      <c r="G138" s="535">
        <v>2.51754088785607E-2</v>
      </c>
      <c r="H138" s="535">
        <v>0</v>
      </c>
      <c r="I138" s="535">
        <v>7.8684416187788098E-3</v>
      </c>
      <c r="J138" s="535">
        <v>1.4343372449266401E-3</v>
      </c>
      <c r="K138" s="535">
        <v>6.1491116175305298E-3</v>
      </c>
      <c r="L138" s="535">
        <v>5.7202912793800402E-2</v>
      </c>
      <c r="M138" s="535">
        <v>0.35518539114020298</v>
      </c>
      <c r="N138" s="535">
        <v>0</v>
      </c>
      <c r="O138" s="535">
        <v>4.5122419490603903E-3</v>
      </c>
    </row>
    <row r="139" spans="1:15">
      <c r="A139" s="266" t="s">
        <v>222</v>
      </c>
      <c r="B139" s="545">
        <v>76133.352725643301</v>
      </c>
      <c r="C139" s="536">
        <v>0.34432902989722342</v>
      </c>
      <c r="D139" s="536">
        <v>6.6189226342058677E-2</v>
      </c>
      <c r="E139" s="536">
        <v>1.9541234120881885E-2</v>
      </c>
      <c r="F139" s="536">
        <v>0.1578569648614086</v>
      </c>
      <c r="G139" s="536">
        <v>2.3719076312409416E-2</v>
      </c>
      <c r="H139" s="536">
        <v>7.0805725219026854E-3</v>
      </c>
      <c r="I139" s="536">
        <v>3.9173203085778902E-2</v>
      </c>
      <c r="J139" s="536">
        <v>2.6767544254610868E-2</v>
      </c>
      <c r="K139" s="536">
        <v>2.9113660665928622E-5</v>
      </c>
      <c r="L139" s="536">
        <v>4.0672908757090065E-3</v>
      </c>
      <c r="M139" s="536">
        <v>0.28683118329680596</v>
      </c>
      <c r="N139" s="536">
        <v>0</v>
      </c>
      <c r="O139" s="536">
        <v>2.4415560770544735E-2</v>
      </c>
    </row>
    <row r="140" spans="1:15">
      <c r="A140" s="266" t="s">
        <v>223</v>
      </c>
      <c r="B140" s="545">
        <v>8634.11241104289</v>
      </c>
      <c r="C140" s="535">
        <v>0.55659132142048651</v>
      </c>
      <c r="D140" s="535">
        <v>0.24306175526522561</v>
      </c>
      <c r="E140" s="535">
        <v>3.5671154860723905E-2</v>
      </c>
      <c r="F140" s="535">
        <v>5.0325960482545495E-6</v>
      </c>
      <c r="G140" s="535"/>
      <c r="H140" s="535"/>
      <c r="I140" s="536"/>
      <c r="J140" s="536" t="s">
        <v>83</v>
      </c>
      <c r="K140" s="536">
        <v>0.1</v>
      </c>
      <c r="L140" s="536"/>
      <c r="M140" s="536">
        <v>5.1999999999999998E-2</v>
      </c>
      <c r="N140" s="536"/>
      <c r="O140" s="535">
        <v>1.2985361397075949E-2</v>
      </c>
    </row>
    <row r="141" spans="1:15" ht="17.25">
      <c r="A141" s="266" t="s">
        <v>498</v>
      </c>
      <c r="B141" s="545">
        <v>9985.1054650000005</v>
      </c>
      <c r="C141" s="535">
        <v>0.81745491022003514</v>
      </c>
      <c r="D141" s="535">
        <v>6.9766835027931767E-2</v>
      </c>
      <c r="E141" s="535">
        <v>5.0578751175805126E-2</v>
      </c>
      <c r="F141" s="535">
        <v>0</v>
      </c>
      <c r="G141" s="535">
        <v>0</v>
      </c>
      <c r="H141" s="535">
        <v>6.2199503576227923E-2</v>
      </c>
      <c r="I141" s="536">
        <v>0</v>
      </c>
      <c r="J141" s="536">
        <v>0</v>
      </c>
      <c r="K141" s="536">
        <v>0</v>
      </c>
      <c r="L141" s="536">
        <v>0</v>
      </c>
      <c r="M141" s="536">
        <v>0</v>
      </c>
      <c r="N141" s="536">
        <v>0</v>
      </c>
      <c r="O141" s="535">
        <v>0</v>
      </c>
    </row>
    <row r="142" spans="1:15">
      <c r="A142" s="266" t="s">
        <v>224</v>
      </c>
      <c r="B142" s="545">
        <v>160275.946045344</v>
      </c>
      <c r="C142" s="537">
        <v>0.49219345960847782</v>
      </c>
      <c r="D142" s="537">
        <v>5.4460303102352572E-2</v>
      </c>
      <c r="E142" s="537">
        <v>0.14074246357932621</v>
      </c>
      <c r="F142" s="537">
        <v>6.0585764306280696E-2</v>
      </c>
      <c r="G142" s="537">
        <v>4.8657625933543371E-2</v>
      </c>
      <c r="H142" s="537">
        <v>0</v>
      </c>
      <c r="I142" s="537">
        <v>3.32895098471426E-3</v>
      </c>
      <c r="J142" s="537">
        <v>2.584565643882558E-3</v>
      </c>
      <c r="K142" s="537">
        <v>4.9501051215788509E-3</v>
      </c>
      <c r="L142" s="537">
        <v>0.16862977313014421</v>
      </c>
      <c r="M142" s="537">
        <v>0</v>
      </c>
      <c r="N142" s="537">
        <v>0</v>
      </c>
      <c r="O142" s="537">
        <v>2.3866988589699389E-2</v>
      </c>
    </row>
    <row r="143" spans="1:15">
      <c r="A143" s="266" t="s">
        <v>369</v>
      </c>
      <c r="B143" s="545">
        <v>537.36</v>
      </c>
      <c r="C143" s="535">
        <v>8.8800000000000004E-2</v>
      </c>
      <c r="D143" s="535">
        <v>0.60750000000000004</v>
      </c>
      <c r="E143" s="535">
        <v>0.14169999999999999</v>
      </c>
      <c r="F143" s="535">
        <v>6.4399999999999999E-2</v>
      </c>
      <c r="G143" s="535">
        <v>3.6799999999999999E-2</v>
      </c>
      <c r="H143" s="535"/>
      <c r="I143" s="535"/>
      <c r="J143" s="535"/>
      <c r="K143" s="535"/>
      <c r="L143" s="535">
        <v>0</v>
      </c>
      <c r="M143" s="535">
        <v>6.08E-2</v>
      </c>
      <c r="N143" s="535"/>
      <c r="O143" s="535"/>
    </row>
    <row r="144" spans="1:15">
      <c r="A144" s="266" t="s">
        <v>363</v>
      </c>
      <c r="B144" s="545">
        <v>712.9</v>
      </c>
      <c r="C144" s="535">
        <v>0.35460000000000003</v>
      </c>
      <c r="D144" s="535">
        <v>0.47110000000000002</v>
      </c>
      <c r="E144" s="535">
        <v>0.16170000000000001</v>
      </c>
      <c r="F144" s="535"/>
      <c r="G144" s="535"/>
      <c r="H144" s="535"/>
      <c r="I144" s="535"/>
      <c r="J144" s="535">
        <v>4.7999999999999996E-3</v>
      </c>
      <c r="K144" s="535"/>
      <c r="L144" s="535"/>
      <c r="M144" s="535"/>
      <c r="N144" s="535"/>
      <c r="O144" s="535">
        <v>7.7999999999999996E-3</v>
      </c>
    </row>
    <row r="145" spans="1:15">
      <c r="A145" s="266" t="s">
        <v>8</v>
      </c>
      <c r="B145" s="545">
        <v>47849.068887053589</v>
      </c>
      <c r="C145" s="538">
        <v>0.21733859033282568</v>
      </c>
      <c r="D145" s="535">
        <v>0.11210000000000001</v>
      </c>
      <c r="E145" s="535">
        <v>6.54E-2</v>
      </c>
      <c r="F145" s="535">
        <v>0.105</v>
      </c>
      <c r="G145" s="535">
        <v>3.6480639082260867E-2</v>
      </c>
      <c r="H145" s="535"/>
      <c r="I145" s="535">
        <v>5.889329845082396E-3</v>
      </c>
      <c r="J145" s="535">
        <v>1.0098646861762255E-2</v>
      </c>
      <c r="K145" s="535">
        <v>1.0432774974541465E-2</v>
      </c>
      <c r="L145" s="535">
        <v>2E-3</v>
      </c>
      <c r="M145" s="535">
        <v>0.40691290958953863</v>
      </c>
      <c r="N145" s="535"/>
      <c r="O145" s="535">
        <v>3.04E-2</v>
      </c>
    </row>
    <row r="146" spans="1:15">
      <c r="A146" s="266" t="s">
        <v>225</v>
      </c>
      <c r="B146" s="545">
        <v>8509.5545216196697</v>
      </c>
      <c r="C146" s="538">
        <v>0.74390215620612332</v>
      </c>
      <c r="D146" s="535">
        <v>0.19627060000055713</v>
      </c>
      <c r="E146" s="535">
        <v>4.5516849660243393E-2</v>
      </c>
      <c r="F146" s="535"/>
      <c r="G146" s="535">
        <v>1.4006145782817699E-2</v>
      </c>
      <c r="H146" s="535"/>
      <c r="I146" s="535"/>
      <c r="J146" s="535"/>
      <c r="K146" s="535"/>
      <c r="L146" s="535"/>
      <c r="M146" s="535"/>
      <c r="N146" s="535"/>
      <c r="O146" s="535">
        <v>3.0424835025834161E-4</v>
      </c>
    </row>
    <row r="147" spans="1:15">
      <c r="A147" s="267" t="s">
        <v>9</v>
      </c>
      <c r="B147" s="545">
        <v>16206.940894017522</v>
      </c>
      <c r="C147" s="536">
        <v>0.72109999999999996</v>
      </c>
      <c r="D147" s="536">
        <v>5.3100000000000001E-2</v>
      </c>
      <c r="E147" s="536">
        <v>0.1227</v>
      </c>
      <c r="F147" s="536">
        <v>1.6999999999999999E-3</v>
      </c>
      <c r="G147" s="536">
        <v>0</v>
      </c>
      <c r="H147" s="536">
        <v>0</v>
      </c>
      <c r="I147" s="536">
        <v>7.2599999999999998E-2</v>
      </c>
      <c r="J147" s="536">
        <v>0</v>
      </c>
      <c r="K147" s="536">
        <v>0</v>
      </c>
      <c r="L147" s="536">
        <v>0</v>
      </c>
      <c r="M147" s="536">
        <v>0</v>
      </c>
      <c r="N147" s="536">
        <v>0</v>
      </c>
      <c r="O147" s="536">
        <v>2.8899999999999999E-2</v>
      </c>
    </row>
    <row r="148" spans="1:15">
      <c r="A148" s="306" t="s">
        <v>10</v>
      </c>
      <c r="B148" s="545">
        <f>SUM(B137:B147)</f>
        <v>539356.61605456157</v>
      </c>
      <c r="C148" s="535"/>
      <c r="D148" s="535"/>
      <c r="E148" s="535"/>
      <c r="F148" s="535"/>
      <c r="G148" s="535"/>
      <c r="H148" s="535"/>
      <c r="I148" s="535"/>
      <c r="J148" s="535"/>
      <c r="K148" s="535"/>
      <c r="L148" s="535"/>
      <c r="M148" s="535"/>
      <c r="N148" s="535"/>
      <c r="O148" s="535"/>
    </row>
    <row r="149" spans="1:15">
      <c r="A149" s="266" t="s">
        <v>226</v>
      </c>
      <c r="B149" s="29"/>
      <c r="C149" s="29"/>
      <c r="D149" s="29"/>
      <c r="E149" s="29"/>
      <c r="F149" s="29"/>
      <c r="G149" s="29"/>
      <c r="H149" s="29"/>
      <c r="I149" s="29"/>
      <c r="J149" s="29"/>
      <c r="K149" s="29"/>
      <c r="L149" s="29"/>
      <c r="M149" s="29"/>
      <c r="N149" s="29"/>
      <c r="O149" s="29"/>
    </row>
    <row r="150" spans="1:15">
      <c r="A150" s="29" t="s">
        <v>227</v>
      </c>
      <c r="B150" s="29"/>
      <c r="C150" s="29"/>
      <c r="D150" s="29"/>
      <c r="E150" s="29"/>
      <c r="F150" s="29"/>
      <c r="G150" s="29"/>
      <c r="H150" s="29"/>
      <c r="I150" s="29"/>
      <c r="J150" s="29"/>
      <c r="K150" s="29"/>
      <c r="L150" s="29"/>
      <c r="M150" s="29"/>
      <c r="N150" s="29"/>
      <c r="O150" s="29"/>
    </row>
    <row r="151" spans="1:15">
      <c r="A151" s="29" t="s">
        <v>228</v>
      </c>
      <c r="B151" s="29"/>
      <c r="C151" s="29"/>
      <c r="D151" s="29"/>
      <c r="E151" s="29"/>
      <c r="F151" s="29"/>
      <c r="G151" s="29"/>
      <c r="H151" s="29"/>
      <c r="I151" s="29"/>
      <c r="J151" s="29"/>
      <c r="K151" s="29"/>
      <c r="L151" s="29"/>
      <c r="M151" s="29"/>
      <c r="N151" s="29"/>
      <c r="O151" s="29"/>
    </row>
    <row r="152" spans="1:15">
      <c r="A152" s="307" t="s">
        <v>344</v>
      </c>
    </row>
    <row r="153" spans="1:15">
      <c r="A153" s="307" t="s">
        <v>343</v>
      </c>
    </row>
    <row r="154" spans="1:15">
      <c r="A154" s="88" t="s">
        <v>399</v>
      </c>
    </row>
    <row r="156" spans="1:15">
      <c r="A156" s="12" t="s">
        <v>406</v>
      </c>
    </row>
    <row r="157" spans="1:15">
      <c r="A157" s="683" t="s">
        <v>0</v>
      </c>
      <c r="B157" s="683" t="s">
        <v>211</v>
      </c>
      <c r="C157" s="686" t="s">
        <v>212</v>
      </c>
      <c r="D157" s="687"/>
      <c r="E157" s="687"/>
      <c r="F157" s="687"/>
      <c r="G157" s="687"/>
      <c r="H157" s="688"/>
      <c r="I157" s="686" t="s">
        <v>213</v>
      </c>
      <c r="J157" s="687"/>
      <c r="K157" s="687"/>
      <c r="L157" s="687"/>
      <c r="M157" s="687"/>
      <c r="N157" s="688"/>
      <c r="O157" s="683" t="s">
        <v>21</v>
      </c>
    </row>
    <row r="158" spans="1:15" ht="60">
      <c r="A158" s="684"/>
      <c r="B158" s="684"/>
      <c r="C158" s="302" t="s">
        <v>214</v>
      </c>
      <c r="D158" s="302" t="s">
        <v>215</v>
      </c>
      <c r="E158" s="302" t="s">
        <v>216</v>
      </c>
      <c r="F158" s="302" t="s">
        <v>217</v>
      </c>
      <c r="G158" s="302" t="s">
        <v>218</v>
      </c>
      <c r="H158" s="302" t="s">
        <v>219</v>
      </c>
      <c r="I158" s="302" t="s">
        <v>214</v>
      </c>
      <c r="J158" s="302" t="s">
        <v>215</v>
      </c>
      <c r="K158" s="302" t="s">
        <v>216</v>
      </c>
      <c r="L158" s="302" t="s">
        <v>217</v>
      </c>
      <c r="M158" s="302" t="s">
        <v>218</v>
      </c>
      <c r="N158" s="302" t="s">
        <v>219</v>
      </c>
      <c r="O158" s="705"/>
    </row>
    <row r="159" spans="1:15">
      <c r="A159" s="685"/>
      <c r="B159" s="685"/>
      <c r="C159" s="689" t="s">
        <v>244</v>
      </c>
      <c r="D159" s="706"/>
      <c r="E159" s="706"/>
      <c r="F159" s="706"/>
      <c r="G159" s="706"/>
      <c r="H159" s="706"/>
      <c r="I159" s="706"/>
      <c r="J159" s="706"/>
      <c r="K159" s="706"/>
      <c r="L159" s="706"/>
      <c r="M159" s="706"/>
      <c r="N159" s="706"/>
      <c r="O159" s="690"/>
    </row>
    <row r="160" spans="1:15">
      <c r="A160" s="266" t="s">
        <v>221</v>
      </c>
      <c r="B160" s="546">
        <v>193110.02889217896</v>
      </c>
      <c r="C160" s="535">
        <v>0.206014572244137</v>
      </c>
      <c r="D160" s="535">
        <v>0.21542055230516099</v>
      </c>
      <c r="E160" s="535">
        <v>6.4541730320081994E-2</v>
      </c>
      <c r="F160" s="535">
        <v>7.45353691469339E-2</v>
      </c>
      <c r="G160" s="535">
        <v>2.4602497503511799E-2</v>
      </c>
      <c r="H160" s="535">
        <v>0</v>
      </c>
      <c r="I160" s="535">
        <v>5.9220918670146996E-3</v>
      </c>
      <c r="J160" s="535">
        <v>1.28086102024288E-3</v>
      </c>
      <c r="K160" s="535">
        <v>5.1381044268239001E-3</v>
      </c>
      <c r="L160" s="535">
        <v>5.3231132291053397E-2</v>
      </c>
      <c r="M160" s="535">
        <v>0.345350965720155</v>
      </c>
      <c r="N160" s="535">
        <v>0</v>
      </c>
      <c r="O160" s="535">
        <v>3.9621233037553903E-3</v>
      </c>
    </row>
    <row r="161" spans="1:15">
      <c r="A161" s="266" t="s">
        <v>222</v>
      </c>
      <c r="B161" s="545"/>
      <c r="C161" s="536"/>
      <c r="D161" s="536"/>
      <c r="E161" s="536"/>
      <c r="F161" s="536"/>
      <c r="G161" s="536"/>
      <c r="H161" s="536"/>
      <c r="I161" s="536"/>
      <c r="J161" s="536"/>
      <c r="K161" s="536"/>
      <c r="L161" s="536"/>
      <c r="M161" s="536"/>
      <c r="N161" s="536"/>
      <c r="O161" s="536"/>
    </row>
    <row r="162" spans="1:15">
      <c r="A162" s="266" t="s">
        <v>223</v>
      </c>
      <c r="B162" s="546">
        <v>8942.8562657570183</v>
      </c>
      <c r="C162" s="535">
        <v>0.53431904605465197</v>
      </c>
      <c r="D162" s="535">
        <v>0.24030973222655799</v>
      </c>
      <c r="E162" s="535">
        <v>3.5431750522076401E-2</v>
      </c>
      <c r="F162" s="535">
        <v>4.8588503168033201E-6</v>
      </c>
      <c r="G162" s="535"/>
      <c r="H162" s="535"/>
      <c r="I162" s="535"/>
      <c r="J162" s="535"/>
      <c r="K162" s="536"/>
      <c r="L162" s="536"/>
      <c r="M162" s="536"/>
      <c r="N162" s="536"/>
      <c r="O162" s="535">
        <v>1.24455167647492E-2</v>
      </c>
    </row>
    <row r="163" spans="1:15" ht="17.25">
      <c r="A163" s="266" t="s">
        <v>498</v>
      </c>
      <c r="B163" s="545"/>
      <c r="C163" s="535">
        <v>0.82859487840279511</v>
      </c>
      <c r="D163" s="535">
        <v>7.0695511831752697E-2</v>
      </c>
      <c r="E163" s="535">
        <v>4.5915460097858185E-2</v>
      </c>
      <c r="F163" s="535"/>
      <c r="G163" s="535"/>
      <c r="H163" s="535">
        <v>5.4794149667593987E-2</v>
      </c>
      <c r="I163" s="535"/>
      <c r="J163" s="535"/>
      <c r="K163" s="535"/>
      <c r="L163" s="535"/>
      <c r="M163" s="535">
        <v>0</v>
      </c>
      <c r="N163" s="535">
        <v>0</v>
      </c>
      <c r="O163" s="535">
        <v>0</v>
      </c>
    </row>
    <row r="164" spans="1:15">
      <c r="A164" s="266" t="s">
        <v>224</v>
      </c>
      <c r="B164" s="546">
        <v>168582.601356887</v>
      </c>
      <c r="C164" s="535">
        <v>0.51370146183270859</v>
      </c>
      <c r="D164" s="535">
        <v>5.3828311416021825E-2</v>
      </c>
      <c r="E164" s="535">
        <v>0.13759294749541207</v>
      </c>
      <c r="F164" s="535">
        <v>6.2138189306172702E-2</v>
      </c>
      <c r="G164" s="535">
        <v>6.0793671769753033E-2</v>
      </c>
      <c r="H164" s="535">
        <v>0</v>
      </c>
      <c r="I164" s="535">
        <v>2.1089097611355803E-3</v>
      </c>
      <c r="J164" s="535">
        <v>2.0672250101412917E-3</v>
      </c>
      <c r="K164" s="535">
        <v>5.6052925539534729E-3</v>
      </c>
      <c r="L164" s="535">
        <v>0.13235801457603433</v>
      </c>
      <c r="M164" s="535">
        <v>0</v>
      </c>
      <c r="N164" s="535">
        <v>0</v>
      </c>
      <c r="O164" s="535">
        <v>2.9805976278667067E-2</v>
      </c>
    </row>
    <row r="165" spans="1:15">
      <c r="A165" s="266" t="s">
        <v>369</v>
      </c>
      <c r="B165" s="546">
        <v>557.24</v>
      </c>
      <c r="C165" s="535">
        <v>7.3999999999999996E-2</v>
      </c>
      <c r="D165" s="535">
        <v>0.62339999999999995</v>
      </c>
      <c r="E165" s="535">
        <v>0.14799999999999999</v>
      </c>
      <c r="F165" s="535">
        <v>6.9000000000000006E-2</v>
      </c>
      <c r="G165" s="535">
        <v>3.4200000000000001E-2</v>
      </c>
      <c r="H165" s="535"/>
      <c r="I165" s="535"/>
      <c r="J165" s="535"/>
      <c r="K165" s="535"/>
      <c r="L165" s="535">
        <v>0</v>
      </c>
      <c r="M165" s="535">
        <v>5.0999999999999997E-2</v>
      </c>
      <c r="N165" s="535"/>
      <c r="O165" s="535"/>
    </row>
    <row r="166" spans="1:15">
      <c r="A166" s="266" t="s">
        <v>363</v>
      </c>
      <c r="B166" s="545"/>
      <c r="C166" s="535"/>
      <c r="D166" s="535"/>
      <c r="E166" s="535"/>
      <c r="F166" s="535"/>
      <c r="G166" s="535"/>
      <c r="H166" s="535"/>
      <c r="I166" s="535"/>
      <c r="J166" s="535"/>
      <c r="K166" s="535"/>
      <c r="L166" s="535"/>
      <c r="M166" s="535"/>
      <c r="N166" s="535"/>
      <c r="O166" s="535"/>
    </row>
    <row r="167" spans="1:15">
      <c r="A167" s="266" t="s">
        <v>8</v>
      </c>
      <c r="B167" s="546">
        <v>45138.255593965208</v>
      </c>
      <c r="C167" s="535">
        <v>0.23227231316114097</v>
      </c>
      <c r="D167" s="535">
        <v>7.6701924998627602E-2</v>
      </c>
      <c r="E167" s="535">
        <v>6.7896701075482901E-2</v>
      </c>
      <c r="F167" s="535">
        <v>0.110813445114603</v>
      </c>
      <c r="G167" s="535">
        <v>3.3864143856102202E-2</v>
      </c>
      <c r="H167" s="535">
        <v>2.6405808442572839E-2</v>
      </c>
      <c r="I167" s="535">
        <v>9.6977928975171303E-3</v>
      </c>
      <c r="J167" s="535">
        <v>3.85206372181289E-3</v>
      </c>
      <c r="K167" s="536">
        <v>8.9438794623539104E-3</v>
      </c>
      <c r="L167" s="536">
        <v>7.8815369966067595E-4</v>
      </c>
      <c r="M167" s="536">
        <v>0.42236135196602798</v>
      </c>
      <c r="N167" s="536">
        <v>0</v>
      </c>
      <c r="O167" s="535">
        <f>100%-SUM(C167:M167)</f>
        <v>6.4024216040979853E-3</v>
      </c>
    </row>
    <row r="168" spans="1:15">
      <c r="A168" s="266" t="s">
        <v>225</v>
      </c>
      <c r="B168" s="546">
        <v>8509.5545216196697</v>
      </c>
      <c r="C168" s="535">
        <v>0.74390215620612332</v>
      </c>
      <c r="D168" s="535">
        <v>0.19627060000055713</v>
      </c>
      <c r="E168" s="535">
        <v>4.5516849660243393E-2</v>
      </c>
      <c r="F168" s="535"/>
      <c r="G168" s="535">
        <v>1.4006145782817699E-2</v>
      </c>
      <c r="H168" s="535"/>
      <c r="I168" s="535"/>
      <c r="J168" s="535"/>
      <c r="K168" s="536"/>
      <c r="L168" s="536"/>
      <c r="M168" s="536"/>
      <c r="N168" s="536"/>
      <c r="O168" s="535">
        <v>3.0424835025834161E-4</v>
      </c>
    </row>
    <row r="169" spans="1:15">
      <c r="A169" s="267" t="s">
        <v>9</v>
      </c>
      <c r="B169" s="545">
        <v>15437.633440464651</v>
      </c>
      <c r="C169" s="535">
        <v>0.66</v>
      </c>
      <c r="D169" s="535">
        <v>6.5000000000000002E-2</v>
      </c>
      <c r="E169" s="535">
        <v>0.14399999999999999</v>
      </c>
      <c r="F169" s="535">
        <v>2E-3</v>
      </c>
      <c r="G169" s="535">
        <v>0</v>
      </c>
      <c r="H169" s="535">
        <v>0</v>
      </c>
      <c r="I169" s="535">
        <v>0.08</v>
      </c>
      <c r="J169" s="535">
        <v>0</v>
      </c>
      <c r="K169" s="536">
        <v>0</v>
      </c>
      <c r="L169" s="536">
        <v>0</v>
      </c>
      <c r="M169" s="536">
        <v>0</v>
      </c>
      <c r="N169" s="536">
        <v>0</v>
      </c>
      <c r="O169" s="535">
        <v>4.9000000000000002E-2</v>
      </c>
    </row>
    <row r="170" spans="1:15">
      <c r="A170" s="306" t="s">
        <v>10</v>
      </c>
      <c r="B170" s="545"/>
      <c r="C170" s="535"/>
      <c r="D170" s="535"/>
      <c r="E170" s="535"/>
      <c r="F170" s="535"/>
      <c r="G170" s="535"/>
      <c r="H170" s="535"/>
      <c r="I170" s="535"/>
      <c r="J170" s="535"/>
      <c r="K170" s="535"/>
      <c r="L170" s="535"/>
      <c r="M170" s="535"/>
      <c r="N170" s="535"/>
      <c r="O170" s="535"/>
    </row>
    <row r="171" spans="1:15">
      <c r="A171" s="266" t="s">
        <v>226</v>
      </c>
      <c r="B171" s="71"/>
      <c r="C171" s="71"/>
      <c r="D171" s="71"/>
      <c r="E171" s="71"/>
      <c r="F171" s="71"/>
      <c r="G171" s="71"/>
      <c r="H171" s="71"/>
      <c r="I171" s="71"/>
      <c r="J171" s="71"/>
      <c r="K171" s="71"/>
      <c r="L171" s="71"/>
      <c r="M171" s="71"/>
      <c r="N171" s="71"/>
      <c r="O171" s="71"/>
    </row>
    <row r="172" spans="1:15">
      <c r="A172" s="29" t="s">
        <v>227</v>
      </c>
      <c r="B172" s="29"/>
      <c r="C172" s="29"/>
      <c r="D172" s="29"/>
      <c r="E172" s="29"/>
      <c r="F172" s="29"/>
      <c r="G172" s="29"/>
      <c r="H172" s="29"/>
      <c r="I172" s="29"/>
      <c r="J172" s="29"/>
      <c r="K172" s="29"/>
      <c r="L172" s="29"/>
      <c r="M172" s="29"/>
      <c r="N172" s="29"/>
      <c r="O172" s="29"/>
    </row>
    <row r="173" spans="1:15">
      <c r="A173" s="29" t="s">
        <v>228</v>
      </c>
      <c r="B173" s="29"/>
      <c r="C173" s="29"/>
      <c r="D173" s="29"/>
      <c r="E173" s="29"/>
      <c r="F173" s="29"/>
      <c r="G173" s="29"/>
      <c r="H173" s="29"/>
      <c r="I173" s="29"/>
      <c r="J173" s="29"/>
      <c r="K173" s="29"/>
      <c r="L173" s="29"/>
      <c r="M173" s="29"/>
      <c r="N173" s="29"/>
      <c r="O173" s="29"/>
    </row>
    <row r="174" spans="1:15">
      <c r="A174" s="307" t="s">
        <v>344</v>
      </c>
    </row>
    <row r="175" spans="1:15">
      <c r="A175" s="307" t="s">
        <v>343</v>
      </c>
    </row>
    <row r="176" spans="1:15">
      <c r="A176" s="88" t="s">
        <v>399</v>
      </c>
    </row>
    <row r="178" spans="1:15">
      <c r="A178" s="12" t="s">
        <v>442</v>
      </c>
    </row>
    <row r="179" spans="1:15">
      <c r="A179" s="683" t="s">
        <v>0</v>
      </c>
      <c r="B179" s="683" t="s">
        <v>211</v>
      </c>
      <c r="C179" s="686" t="s">
        <v>212</v>
      </c>
      <c r="D179" s="687"/>
      <c r="E179" s="687"/>
      <c r="F179" s="687"/>
      <c r="G179" s="687"/>
      <c r="H179" s="688"/>
      <c r="I179" s="686" t="s">
        <v>213</v>
      </c>
      <c r="J179" s="687"/>
      <c r="K179" s="687"/>
      <c r="L179" s="687"/>
      <c r="M179" s="687"/>
      <c r="N179" s="688"/>
      <c r="O179" s="683" t="s">
        <v>21</v>
      </c>
    </row>
    <row r="180" spans="1:15" ht="60">
      <c r="A180" s="684"/>
      <c r="B180" s="684"/>
      <c r="C180" s="302" t="s">
        <v>214</v>
      </c>
      <c r="D180" s="302" t="s">
        <v>215</v>
      </c>
      <c r="E180" s="302" t="s">
        <v>216</v>
      </c>
      <c r="F180" s="302" t="s">
        <v>217</v>
      </c>
      <c r="G180" s="302" t="s">
        <v>218</v>
      </c>
      <c r="H180" s="302" t="s">
        <v>219</v>
      </c>
      <c r="I180" s="302" t="s">
        <v>214</v>
      </c>
      <c r="J180" s="302" t="s">
        <v>215</v>
      </c>
      <c r="K180" s="302" t="s">
        <v>216</v>
      </c>
      <c r="L180" s="302" t="s">
        <v>217</v>
      </c>
      <c r="M180" s="302" t="s">
        <v>218</v>
      </c>
      <c r="N180" s="302" t="s">
        <v>219</v>
      </c>
      <c r="O180" s="705"/>
    </row>
    <row r="181" spans="1:15">
      <c r="A181" s="685"/>
      <c r="B181" s="685"/>
      <c r="C181" s="689" t="s">
        <v>244</v>
      </c>
      <c r="D181" s="706"/>
      <c r="E181" s="706"/>
      <c r="F181" s="706"/>
      <c r="G181" s="706"/>
      <c r="H181" s="706"/>
      <c r="I181" s="706"/>
      <c r="J181" s="706"/>
      <c r="K181" s="706"/>
      <c r="L181" s="706"/>
      <c r="M181" s="706"/>
      <c r="N181" s="706"/>
      <c r="O181" s="690"/>
    </row>
    <row r="182" spans="1:15">
      <c r="A182" s="266" t="s">
        <v>221</v>
      </c>
      <c r="B182" s="546">
        <v>215372.40656687974</v>
      </c>
      <c r="C182" s="535">
        <v>0.19444526404520199</v>
      </c>
      <c r="D182" s="535">
        <v>0.20527216769887899</v>
      </c>
      <c r="E182" s="535">
        <v>6.4273541044567895E-2</v>
      </c>
      <c r="F182" s="535">
        <v>7.0694959503764199E-2</v>
      </c>
      <c r="G182" s="535">
        <v>2.5120784080048499E-2</v>
      </c>
      <c r="H182" s="535">
        <v>0</v>
      </c>
      <c r="I182" s="535">
        <v>1.4409572266650199E-2</v>
      </c>
      <c r="J182" s="535">
        <v>5.1302058664833103E-4</v>
      </c>
      <c r="K182" s="535">
        <v>2.45621739031811E-3</v>
      </c>
      <c r="L182" s="535">
        <v>5.74839779286032E-2</v>
      </c>
      <c r="M182" s="535">
        <v>0.35863076116113402</v>
      </c>
      <c r="N182" s="535">
        <v>0</v>
      </c>
      <c r="O182" s="535">
        <v>6.68230199795301E-3</v>
      </c>
    </row>
    <row r="183" spans="1:15">
      <c r="A183" s="266" t="s">
        <v>222</v>
      </c>
      <c r="B183" s="545"/>
      <c r="C183" s="536"/>
      <c r="D183" s="536"/>
      <c r="E183" s="536"/>
      <c r="F183" s="536"/>
      <c r="G183" s="536"/>
      <c r="H183" s="536"/>
      <c r="I183" s="536"/>
      <c r="J183" s="536"/>
      <c r="K183" s="536"/>
      <c r="L183" s="536"/>
      <c r="M183" s="536"/>
      <c r="N183" s="536"/>
      <c r="O183" s="536"/>
    </row>
    <row r="184" spans="1:15">
      <c r="A184" s="266" t="s">
        <v>223</v>
      </c>
      <c r="B184" s="546">
        <v>11578</v>
      </c>
      <c r="C184" s="535">
        <v>0.61299999999999999</v>
      </c>
      <c r="D184" s="535">
        <v>0.183</v>
      </c>
      <c r="E184" s="535">
        <v>3.4000000000000002E-2</v>
      </c>
      <c r="F184" s="535">
        <v>0</v>
      </c>
      <c r="G184" s="535"/>
      <c r="H184" s="535"/>
      <c r="I184" s="535"/>
      <c r="J184" s="535"/>
      <c r="K184" s="536"/>
      <c r="L184" s="536"/>
      <c r="M184" s="536"/>
      <c r="N184" s="536"/>
      <c r="O184" s="535">
        <v>6.0000000000000001E-3</v>
      </c>
    </row>
    <row r="185" spans="1:15" ht="17.25">
      <c r="A185" s="266" t="s">
        <v>498</v>
      </c>
      <c r="B185" s="545"/>
      <c r="C185" s="547">
        <v>0.8207488091135583</v>
      </c>
      <c r="D185" s="547">
        <v>8.2937690619272905E-2</v>
      </c>
      <c r="E185" s="547">
        <v>4.2589028228464318E-2</v>
      </c>
      <c r="F185" s="548">
        <v>0</v>
      </c>
      <c r="G185" s="547">
        <v>1.295640382662999E-3</v>
      </c>
      <c r="H185" s="547">
        <v>5.2428831656041355E-2</v>
      </c>
      <c r="I185" s="549" t="s">
        <v>463</v>
      </c>
      <c r="J185" s="549"/>
      <c r="K185" s="549" t="s">
        <v>463</v>
      </c>
      <c r="L185" s="549" t="s">
        <v>463</v>
      </c>
      <c r="M185" s="549" t="s">
        <v>463</v>
      </c>
      <c r="N185" s="549" t="s">
        <v>463</v>
      </c>
      <c r="O185" s="550">
        <v>0</v>
      </c>
    </row>
    <row r="186" spans="1:15">
      <c r="A186" s="266" t="s">
        <v>224</v>
      </c>
      <c r="B186" s="524">
        <v>211325150597.82602</v>
      </c>
      <c r="C186" s="537">
        <v>0.53838448251166471</v>
      </c>
      <c r="D186" s="537">
        <v>5.28898709812122E-2</v>
      </c>
      <c r="E186" s="537">
        <v>0.11870746824172708</v>
      </c>
      <c r="F186" s="537">
        <v>5.8035441956088792E-2</v>
      </c>
      <c r="G186" s="537">
        <v>5.9482051819120717E-2</v>
      </c>
      <c r="H186" s="537">
        <v>0</v>
      </c>
      <c r="I186" s="537">
        <v>1.3489909896156676E-3</v>
      </c>
      <c r="J186" s="537">
        <v>1.7495764838031498E-3</v>
      </c>
      <c r="K186" s="537">
        <v>1.0327754611154049E-2</v>
      </c>
      <c r="L186" s="537">
        <v>0.131154537360781</v>
      </c>
      <c r="M186" s="537">
        <v>0</v>
      </c>
      <c r="N186" s="537">
        <v>0</v>
      </c>
      <c r="O186" s="537">
        <v>2.7919825044832682E-2</v>
      </c>
    </row>
    <row r="187" spans="1:15">
      <c r="A187" s="266" t="s">
        <v>369</v>
      </c>
      <c r="B187" s="551">
        <v>623.89</v>
      </c>
      <c r="C187" s="552">
        <v>6.9699999999999998E-2</v>
      </c>
      <c r="D187" s="552">
        <v>0.62990000000000002</v>
      </c>
      <c r="E187" s="552">
        <v>0.13450000000000001</v>
      </c>
      <c r="F187" s="552">
        <v>6.4399999999999999E-2</v>
      </c>
      <c r="G187" s="552">
        <v>3.4099999999999998E-2</v>
      </c>
      <c r="H187" s="552"/>
      <c r="I187" s="552"/>
      <c r="J187" s="552"/>
      <c r="K187" s="552"/>
      <c r="L187" s="552">
        <v>0</v>
      </c>
      <c r="M187" s="552">
        <v>6.7000000000000004E-2</v>
      </c>
      <c r="N187" s="535"/>
      <c r="O187" s="535"/>
    </row>
    <row r="188" spans="1:15">
      <c r="A188" s="266" t="s">
        <v>363</v>
      </c>
      <c r="B188" s="524">
        <v>733</v>
      </c>
      <c r="C188" s="537">
        <v>0.31</v>
      </c>
      <c r="D188" s="537">
        <v>0.49399999999999999</v>
      </c>
      <c r="E188" s="537">
        <v>0.188</v>
      </c>
      <c r="F188" s="537">
        <v>3.0000000000000001E-3</v>
      </c>
      <c r="G188" s="537"/>
      <c r="H188" s="537"/>
      <c r="I188" s="537"/>
      <c r="J188" s="537"/>
      <c r="K188" s="537"/>
      <c r="L188" s="537"/>
      <c r="M188" s="537"/>
      <c r="N188" s="537"/>
      <c r="O188" s="537">
        <v>4.0000000000000001E-3</v>
      </c>
    </row>
    <row r="189" spans="1:15">
      <c r="A189" s="266" t="s">
        <v>8</v>
      </c>
      <c r="B189" s="546">
        <v>52349.049212141646</v>
      </c>
      <c r="C189" s="535">
        <v>0.23126610746802889</v>
      </c>
      <c r="D189" s="535">
        <v>7.4752222801558271E-2</v>
      </c>
      <c r="E189" s="535">
        <v>7.0419625171851602E-2</v>
      </c>
      <c r="F189" s="535">
        <v>0.11534809596384089</v>
      </c>
      <c r="G189" s="535">
        <v>3.0521301274044902E-2</v>
      </c>
      <c r="H189" s="535">
        <v>2.308459080313454E-2</v>
      </c>
      <c r="I189" s="535">
        <v>2.5809602178383014E-2</v>
      </c>
      <c r="J189" s="535">
        <v>4.2416412023458935E-3</v>
      </c>
      <c r="K189" s="536">
        <v>1.4052922243274235E-2</v>
      </c>
      <c r="L189" s="536">
        <v>1.8317148216094007E-4</v>
      </c>
      <c r="M189" s="536">
        <v>0.40443819566952433</v>
      </c>
      <c r="N189" s="536">
        <v>0</v>
      </c>
      <c r="O189" s="535">
        <v>5.8825237418523857E-3</v>
      </c>
    </row>
    <row r="190" spans="1:15">
      <c r="A190" s="266" t="s">
        <v>225</v>
      </c>
      <c r="B190" s="546">
        <v>10527.751609498944</v>
      </c>
      <c r="C190" s="535">
        <v>0.77531796246142604</v>
      </c>
      <c r="D190" s="535">
        <v>0.11349293097909173</v>
      </c>
      <c r="E190" s="535">
        <v>4.891495951542954E-2</v>
      </c>
      <c r="F190" s="535"/>
      <c r="G190" s="535">
        <v>6.2274147044052694E-2</v>
      </c>
      <c r="H190" s="535"/>
      <c r="I190" s="535"/>
      <c r="J190" s="535"/>
      <c r="K190" s="536"/>
      <c r="L190" s="536"/>
      <c r="M190" s="536"/>
      <c r="N190" s="536"/>
      <c r="O190" s="535">
        <v>3.0424835025834161E-4</v>
      </c>
    </row>
    <row r="191" spans="1:15">
      <c r="A191" s="267" t="s">
        <v>9</v>
      </c>
      <c r="B191" s="545">
        <v>15110.842584247108</v>
      </c>
      <c r="C191" s="535">
        <v>0.51700000000000002</v>
      </c>
      <c r="D191" s="535">
        <v>5.3999999999999999E-2</v>
      </c>
      <c r="E191" s="535">
        <v>0.17299999999999999</v>
      </c>
      <c r="F191" s="535">
        <v>2E-3</v>
      </c>
      <c r="G191" s="535">
        <v>0</v>
      </c>
      <c r="H191" s="535">
        <v>0</v>
      </c>
      <c r="I191" s="535">
        <v>0.151</v>
      </c>
      <c r="J191" s="535">
        <v>0</v>
      </c>
      <c r="K191" s="536">
        <v>0</v>
      </c>
      <c r="L191" s="536">
        <v>0</v>
      </c>
      <c r="M191" s="536">
        <v>0</v>
      </c>
      <c r="N191" s="536">
        <v>0</v>
      </c>
      <c r="O191" s="535">
        <v>0.10299999999999999</v>
      </c>
    </row>
    <row r="192" spans="1:15">
      <c r="A192" s="306" t="s">
        <v>10</v>
      </c>
      <c r="B192" s="545"/>
      <c r="C192" s="535"/>
      <c r="D192" s="535"/>
      <c r="E192" s="535"/>
      <c r="F192" s="535"/>
      <c r="G192" s="535"/>
      <c r="H192" s="535"/>
      <c r="I192" s="535"/>
      <c r="J192" s="535"/>
      <c r="K192" s="535"/>
      <c r="L192" s="535"/>
      <c r="M192" s="535"/>
      <c r="N192" s="535"/>
      <c r="O192" s="535"/>
    </row>
    <row r="193" spans="1:15">
      <c r="A193" s="266" t="s">
        <v>226</v>
      </c>
      <c r="B193" s="71"/>
      <c r="C193" s="71"/>
      <c r="D193" s="71"/>
      <c r="E193" s="71"/>
      <c r="F193" s="71"/>
      <c r="G193" s="71"/>
      <c r="H193" s="71"/>
      <c r="I193" s="71"/>
      <c r="J193" s="71"/>
      <c r="K193" s="71"/>
      <c r="L193" s="71"/>
      <c r="M193" s="71"/>
      <c r="N193" s="71"/>
      <c r="O193" s="71"/>
    </row>
    <row r="194" spans="1:15">
      <c r="A194" s="29" t="s">
        <v>227</v>
      </c>
      <c r="B194" s="29"/>
      <c r="C194" s="29"/>
      <c r="D194" s="29"/>
      <c r="E194" s="29"/>
      <c r="F194" s="29"/>
      <c r="G194" s="29"/>
      <c r="H194" s="29"/>
      <c r="I194" s="29"/>
      <c r="J194" s="29"/>
      <c r="K194" s="29"/>
      <c r="L194" s="29"/>
      <c r="M194" s="29"/>
      <c r="N194" s="29"/>
      <c r="O194" s="29"/>
    </row>
    <row r="195" spans="1:15">
      <c r="A195" s="29" t="s">
        <v>228</v>
      </c>
      <c r="B195" s="29"/>
      <c r="C195" s="29"/>
      <c r="D195" s="29"/>
      <c r="E195" s="29"/>
      <c r="F195" s="29"/>
      <c r="G195" s="29"/>
      <c r="H195" s="29"/>
      <c r="I195" s="29"/>
      <c r="J195" s="29"/>
      <c r="K195" s="29"/>
      <c r="L195" s="29"/>
      <c r="M195" s="29"/>
      <c r="N195" s="29"/>
      <c r="O195" s="29"/>
    </row>
    <row r="196" spans="1:15">
      <c r="A196" s="307" t="s">
        <v>344</v>
      </c>
    </row>
    <row r="197" spans="1:15">
      <c r="A197" s="307" t="s">
        <v>343</v>
      </c>
    </row>
    <row r="198" spans="1:15">
      <c r="A198" s="88" t="s">
        <v>399</v>
      </c>
    </row>
    <row r="199" spans="1:15">
      <c r="A199" s="88" t="s">
        <v>455</v>
      </c>
    </row>
    <row r="200" spans="1:15">
      <c r="A200" s="522" t="s">
        <v>456</v>
      </c>
    </row>
    <row r="202" spans="1:15">
      <c r="A202" s="12" t="s">
        <v>468</v>
      </c>
    </row>
    <row r="203" spans="1:15">
      <c r="A203" s="683" t="s">
        <v>0</v>
      </c>
      <c r="B203" s="683" t="s">
        <v>211</v>
      </c>
      <c r="C203" s="686" t="s">
        <v>212</v>
      </c>
      <c r="D203" s="687"/>
      <c r="E203" s="687"/>
      <c r="F203" s="687"/>
      <c r="G203" s="687"/>
      <c r="H203" s="688"/>
      <c r="I203" s="686" t="s">
        <v>213</v>
      </c>
      <c r="J203" s="687"/>
      <c r="K203" s="687"/>
      <c r="L203" s="687"/>
      <c r="M203" s="687"/>
      <c r="N203" s="688"/>
      <c r="O203" s="683" t="s">
        <v>21</v>
      </c>
    </row>
    <row r="204" spans="1:15" ht="60">
      <c r="A204" s="684"/>
      <c r="B204" s="684"/>
      <c r="C204" s="302" t="s">
        <v>214</v>
      </c>
      <c r="D204" s="302" t="s">
        <v>215</v>
      </c>
      <c r="E204" s="302" t="s">
        <v>216</v>
      </c>
      <c r="F204" s="302" t="s">
        <v>217</v>
      </c>
      <c r="G204" s="302" t="s">
        <v>218</v>
      </c>
      <c r="H204" s="302" t="s">
        <v>219</v>
      </c>
      <c r="I204" s="302" t="s">
        <v>214</v>
      </c>
      <c r="J204" s="302" t="s">
        <v>215</v>
      </c>
      <c r="K204" s="302" t="s">
        <v>216</v>
      </c>
      <c r="L204" s="302" t="s">
        <v>217</v>
      </c>
      <c r="M204" s="302" t="s">
        <v>218</v>
      </c>
      <c r="N204" s="302" t="s">
        <v>219</v>
      </c>
      <c r="O204" s="705"/>
    </row>
    <row r="205" spans="1:15">
      <c r="A205" s="685"/>
      <c r="B205" s="685"/>
      <c r="C205" s="689" t="s">
        <v>244</v>
      </c>
      <c r="D205" s="706"/>
      <c r="E205" s="706"/>
      <c r="F205" s="706"/>
      <c r="G205" s="706"/>
      <c r="H205" s="706"/>
      <c r="I205" s="706"/>
      <c r="J205" s="706"/>
      <c r="K205" s="706"/>
      <c r="L205" s="706"/>
      <c r="M205" s="706"/>
      <c r="N205" s="706"/>
      <c r="O205" s="690"/>
    </row>
    <row r="206" spans="1:15">
      <c r="A206" s="266" t="s">
        <v>221</v>
      </c>
      <c r="B206" s="546">
        <v>213676.45495695501</v>
      </c>
      <c r="C206" s="535">
        <v>0.20401504131831799</v>
      </c>
      <c r="D206" s="535">
        <v>0.152703418672228</v>
      </c>
      <c r="E206" s="535">
        <v>8.5695905291718805E-2</v>
      </c>
      <c r="F206" s="535">
        <v>5.7587327613265203E-2</v>
      </c>
      <c r="G206" s="535">
        <v>2.32655304085937E-2</v>
      </c>
      <c r="H206" s="553">
        <v>0</v>
      </c>
      <c r="I206" s="535">
        <v>7.8139613778571895E-3</v>
      </c>
      <c r="J206" s="535">
        <v>1.1409462351853301E-3</v>
      </c>
      <c r="K206" s="535">
        <v>2.48917142990387E-3</v>
      </c>
      <c r="L206" s="535">
        <v>5.71177161874592E-2</v>
      </c>
      <c r="M206" s="535">
        <v>0.38403183564431498</v>
      </c>
      <c r="N206" s="535">
        <v>0</v>
      </c>
      <c r="O206" s="535">
        <v>2.4139146126567802E-2</v>
      </c>
    </row>
    <row r="207" spans="1:15">
      <c r="A207" s="266" t="s">
        <v>222</v>
      </c>
      <c r="B207" s="545"/>
      <c r="C207" s="536"/>
      <c r="D207" s="536"/>
      <c r="E207" s="536"/>
      <c r="F207" s="536"/>
      <c r="G207" s="536"/>
      <c r="H207" s="536"/>
      <c r="I207" s="536"/>
      <c r="J207" s="536"/>
      <c r="K207" s="536"/>
      <c r="L207" s="536"/>
      <c r="M207" s="536"/>
      <c r="N207" s="536"/>
      <c r="O207" s="536"/>
    </row>
    <row r="208" spans="1:15">
      <c r="A208" s="266" t="s">
        <v>223</v>
      </c>
      <c r="B208" s="546">
        <v>12187.23</v>
      </c>
      <c r="C208" s="535">
        <v>0.69779999999999998</v>
      </c>
      <c r="D208" s="535">
        <v>0.1255</v>
      </c>
      <c r="E208" s="535">
        <v>2.6200000000000001E-2</v>
      </c>
      <c r="F208" s="535">
        <v>2.0000000000000001E-4</v>
      </c>
      <c r="G208" s="535">
        <v>3.1399999999999997E-2</v>
      </c>
      <c r="H208" s="535"/>
      <c r="I208" s="535"/>
      <c r="J208" s="535"/>
      <c r="K208" s="536"/>
      <c r="L208" s="536"/>
      <c r="M208" s="536"/>
      <c r="N208" s="536"/>
      <c r="O208" s="535">
        <v>3.0000000000000001E-3</v>
      </c>
    </row>
    <row r="209" spans="1:15" ht="17.25">
      <c r="A209" s="266" t="s">
        <v>498</v>
      </c>
      <c r="B209" s="546">
        <v>12169.3719875359</v>
      </c>
      <c r="C209" s="547">
        <v>0.81579340584875248</v>
      </c>
      <c r="D209" s="547">
        <v>5.6369058495097379E-2</v>
      </c>
      <c r="E209" s="547">
        <v>2.9258391881222048E-2</v>
      </c>
      <c r="F209" s="548" t="s">
        <v>474</v>
      </c>
      <c r="G209" s="547">
        <v>5.2506868555256693E-2</v>
      </c>
      <c r="H209" s="547">
        <v>4.6072275219671402E-2</v>
      </c>
      <c r="I209" s="549" t="s">
        <v>463</v>
      </c>
      <c r="J209" s="549" t="s">
        <v>463</v>
      </c>
      <c r="K209" s="549" t="s">
        <v>463</v>
      </c>
      <c r="L209" s="549" t="s">
        <v>463</v>
      </c>
      <c r="M209" s="549" t="s">
        <v>463</v>
      </c>
      <c r="N209" s="549" t="s">
        <v>463</v>
      </c>
      <c r="O209" s="550">
        <v>0</v>
      </c>
    </row>
    <row r="210" spans="1:15">
      <c r="A210" s="266" t="s">
        <v>224</v>
      </c>
      <c r="B210" s="524">
        <v>236570364423.6449</v>
      </c>
      <c r="C210" s="537">
        <v>0.50459613482062771</v>
      </c>
      <c r="D210" s="537">
        <v>4.5576409624869842E-2</v>
      </c>
      <c r="E210" s="537">
        <v>0.10208287346410753</v>
      </c>
      <c r="F210" s="537">
        <v>5.0094603136685914E-2</v>
      </c>
      <c r="G210" s="537">
        <v>5.7149990511636425E-2</v>
      </c>
      <c r="H210" s="537">
        <v>0</v>
      </c>
      <c r="I210" s="537">
        <v>1.3700510918833548E-3</v>
      </c>
      <c r="J210" s="537">
        <v>1.52155887528277E-3</v>
      </c>
      <c r="K210" s="537">
        <v>6.8514197101771125E-3</v>
      </c>
      <c r="L210" s="537">
        <v>0.20472639614028418</v>
      </c>
      <c r="M210" s="537">
        <v>0</v>
      </c>
      <c r="N210" s="537">
        <v>0</v>
      </c>
      <c r="O210" s="537">
        <v>2.6030562624445072E-2</v>
      </c>
    </row>
    <row r="211" spans="1:15">
      <c r="A211" s="266" t="s">
        <v>369</v>
      </c>
      <c r="B211" s="551">
        <v>642.87</v>
      </c>
      <c r="C211" s="554">
        <v>1.9599999999999999E-2</v>
      </c>
      <c r="D211" s="554">
        <v>0.6462</v>
      </c>
      <c r="E211" s="554">
        <v>0.1217</v>
      </c>
      <c r="F211" s="554">
        <v>5.0599999999999999E-2</v>
      </c>
      <c r="G211" s="554">
        <v>8.3400000000000002E-2</v>
      </c>
      <c r="H211" s="554"/>
      <c r="I211" s="554"/>
      <c r="J211" s="554"/>
      <c r="K211" s="554"/>
      <c r="L211" s="554">
        <v>0</v>
      </c>
      <c r="M211" s="554">
        <v>7.85E-2</v>
      </c>
      <c r="N211" s="535"/>
      <c r="O211" s="535"/>
    </row>
    <row r="212" spans="1:15">
      <c r="A212" s="266" t="s">
        <v>363</v>
      </c>
      <c r="B212" s="524"/>
      <c r="C212" s="537"/>
      <c r="D212" s="537"/>
      <c r="E212" s="537"/>
      <c r="F212" s="537"/>
      <c r="G212" s="537"/>
      <c r="H212" s="537"/>
      <c r="I212" s="537"/>
      <c r="J212" s="537"/>
      <c r="K212" s="537"/>
      <c r="L212" s="537"/>
      <c r="M212" s="537"/>
      <c r="N212" s="537"/>
      <c r="O212" s="537"/>
    </row>
    <row r="213" spans="1:15">
      <c r="A213" s="266" t="s">
        <v>8</v>
      </c>
      <c r="B213" s="546">
        <v>45143.350950528584</v>
      </c>
      <c r="C213" s="535">
        <v>0.1694241774273629</v>
      </c>
      <c r="D213" s="535">
        <v>8.9733170492507591E-2</v>
      </c>
      <c r="E213" s="535">
        <v>6.7118222415737311E-2</v>
      </c>
      <c r="F213" s="535">
        <v>0.12540486604092693</v>
      </c>
      <c r="G213" s="535">
        <v>3.3231729888064464E-2</v>
      </c>
      <c r="H213" s="535">
        <v>2.0753559727659243E-2</v>
      </c>
      <c r="I213" s="535">
        <v>4.3289421196208898E-2</v>
      </c>
      <c r="J213" s="535">
        <v>5.7064210514904783E-3</v>
      </c>
      <c r="K213" s="536">
        <v>1.3994627895299854E-2</v>
      </c>
      <c r="L213" s="536">
        <v>9.2719759394250869E-5</v>
      </c>
      <c r="M213" s="536">
        <v>0.43356336137046386</v>
      </c>
      <c r="N213" s="536">
        <v>0</v>
      </c>
      <c r="O213" s="536">
        <v>-2.3122772651158474E-3</v>
      </c>
    </row>
    <row r="214" spans="1:15">
      <c r="A214" s="266" t="s">
        <v>225</v>
      </c>
      <c r="B214" s="546">
        <v>11097.093709878094</v>
      </c>
      <c r="C214" s="535">
        <v>0.79246398840151688</v>
      </c>
      <c r="D214" s="535">
        <v>8.2776523036923927E-2</v>
      </c>
      <c r="E214" s="535">
        <v>5.5111345734320992E-2</v>
      </c>
      <c r="F214" s="535"/>
      <c r="G214" s="535">
        <v>6.9648142827238219E-2</v>
      </c>
      <c r="H214" s="535" t="s">
        <v>294</v>
      </c>
      <c r="I214" s="535" t="s">
        <v>294</v>
      </c>
      <c r="J214" s="535" t="s">
        <v>294</v>
      </c>
      <c r="K214" s="535" t="s">
        <v>294</v>
      </c>
      <c r="L214" s="535" t="s">
        <v>294</v>
      </c>
      <c r="M214" s="535" t="s">
        <v>294</v>
      </c>
      <c r="N214" s="535" t="s">
        <v>294</v>
      </c>
      <c r="O214" s="535" t="s">
        <v>294</v>
      </c>
    </row>
    <row r="215" spans="1:15">
      <c r="A215" s="267" t="s">
        <v>9</v>
      </c>
      <c r="B215" s="545">
        <v>16053.463713235709</v>
      </c>
      <c r="C215" s="535">
        <v>56.52</v>
      </c>
      <c r="D215" s="535">
        <v>4.8499999999999996</v>
      </c>
      <c r="E215" s="535">
        <v>18.53</v>
      </c>
      <c r="F215" s="535">
        <v>0.15</v>
      </c>
      <c r="G215" s="535">
        <v>0</v>
      </c>
      <c r="H215" s="535">
        <v>0</v>
      </c>
      <c r="I215" s="535">
        <v>14.56</v>
      </c>
      <c r="J215" s="535">
        <v>0</v>
      </c>
      <c r="K215" s="536">
        <v>0</v>
      </c>
      <c r="L215" s="536">
        <v>0</v>
      </c>
      <c r="M215" s="536">
        <v>0</v>
      </c>
      <c r="N215" s="536">
        <v>0</v>
      </c>
      <c r="O215" s="535">
        <v>5.4</v>
      </c>
    </row>
    <row r="216" spans="1:15">
      <c r="A216" s="306" t="s">
        <v>10</v>
      </c>
      <c r="B216" s="545"/>
      <c r="C216" s="535"/>
      <c r="D216" s="535"/>
      <c r="E216" s="535"/>
      <c r="F216" s="535"/>
      <c r="G216" s="535"/>
      <c r="H216" s="535"/>
      <c r="I216" s="535"/>
      <c r="J216" s="535"/>
      <c r="K216" s="535"/>
      <c r="L216" s="535"/>
      <c r="M216" s="535"/>
      <c r="N216" s="535"/>
      <c r="O216" s="535"/>
    </row>
    <row r="217" spans="1:15">
      <c r="A217" s="266" t="s">
        <v>226</v>
      </c>
      <c r="B217" s="71"/>
      <c r="C217" s="71"/>
      <c r="D217" s="71"/>
      <c r="E217" s="71"/>
      <c r="F217" s="71"/>
      <c r="G217" s="71"/>
      <c r="H217" s="71"/>
      <c r="I217" s="71"/>
      <c r="J217" s="71"/>
      <c r="K217" s="71"/>
      <c r="L217" s="71"/>
      <c r="M217" s="71"/>
      <c r="N217" s="71"/>
      <c r="O217" s="71"/>
    </row>
    <row r="218" spans="1:15">
      <c r="A218" s="29" t="s">
        <v>227</v>
      </c>
      <c r="B218" s="29"/>
      <c r="C218" s="29"/>
      <c r="D218" s="29"/>
      <c r="E218" s="29"/>
      <c r="F218" s="29"/>
      <c r="G218" s="29"/>
      <c r="H218" s="29"/>
      <c r="I218" s="29"/>
      <c r="J218" s="29"/>
      <c r="K218" s="29"/>
      <c r="L218" s="29"/>
      <c r="M218" s="29"/>
      <c r="N218" s="29"/>
      <c r="O218" s="29"/>
    </row>
    <row r="219" spans="1:15">
      <c r="A219" s="29" t="s">
        <v>228</v>
      </c>
      <c r="B219" s="29"/>
      <c r="C219" s="29"/>
      <c r="D219" s="29"/>
      <c r="E219" s="29"/>
      <c r="F219" s="29"/>
      <c r="G219" s="29"/>
      <c r="H219" s="29"/>
      <c r="I219" s="29"/>
      <c r="J219" s="29"/>
      <c r="K219" s="29"/>
      <c r="L219" s="29"/>
      <c r="M219" s="29"/>
      <c r="N219" s="29"/>
      <c r="O219" s="29"/>
    </row>
    <row r="220" spans="1:15">
      <c r="A220" s="307" t="s">
        <v>344</v>
      </c>
    </row>
    <row r="221" spans="1:15">
      <c r="A221" s="307" t="s">
        <v>343</v>
      </c>
    </row>
    <row r="222" spans="1:15">
      <c r="A222" s="88" t="s">
        <v>399</v>
      </c>
    </row>
    <row r="223" spans="1:15">
      <c r="A223" s="88" t="s">
        <v>455</v>
      </c>
    </row>
    <row r="224" spans="1:15">
      <c r="A224" s="522" t="s">
        <v>456</v>
      </c>
    </row>
    <row r="226" spans="1:15">
      <c r="A226" s="12" t="s">
        <v>479</v>
      </c>
    </row>
    <row r="227" spans="1:15">
      <c r="A227" s="683" t="s">
        <v>0</v>
      </c>
      <c r="B227" s="683" t="s">
        <v>211</v>
      </c>
      <c r="C227" s="686" t="s">
        <v>212</v>
      </c>
      <c r="D227" s="687"/>
      <c r="E227" s="687"/>
      <c r="F227" s="687"/>
      <c r="G227" s="687"/>
      <c r="H227" s="688"/>
      <c r="I227" s="686" t="s">
        <v>213</v>
      </c>
      <c r="J227" s="687"/>
      <c r="K227" s="687"/>
      <c r="L227" s="687"/>
      <c r="M227" s="687"/>
      <c r="N227" s="688"/>
      <c r="O227" s="683" t="s">
        <v>21</v>
      </c>
    </row>
    <row r="228" spans="1:15" ht="60">
      <c r="A228" s="684"/>
      <c r="B228" s="684"/>
      <c r="C228" s="302" t="s">
        <v>214</v>
      </c>
      <c r="D228" s="302" t="s">
        <v>215</v>
      </c>
      <c r="E228" s="302" t="s">
        <v>216</v>
      </c>
      <c r="F228" s="302" t="s">
        <v>217</v>
      </c>
      <c r="G228" s="302" t="s">
        <v>218</v>
      </c>
      <c r="H228" s="302" t="s">
        <v>219</v>
      </c>
      <c r="I228" s="302" t="s">
        <v>214</v>
      </c>
      <c r="J228" s="302" t="s">
        <v>215</v>
      </c>
      <c r="K228" s="302" t="s">
        <v>216</v>
      </c>
      <c r="L228" s="302" t="s">
        <v>217</v>
      </c>
      <c r="M228" s="302" t="s">
        <v>218</v>
      </c>
      <c r="N228" s="302" t="s">
        <v>219</v>
      </c>
      <c r="O228" s="705"/>
    </row>
    <row r="229" spans="1:15">
      <c r="A229" s="685"/>
      <c r="B229" s="685"/>
      <c r="C229" s="689" t="s">
        <v>244</v>
      </c>
      <c r="D229" s="706"/>
      <c r="E229" s="706"/>
      <c r="F229" s="706"/>
      <c r="G229" s="706"/>
      <c r="H229" s="706"/>
      <c r="I229" s="706"/>
      <c r="J229" s="706"/>
      <c r="K229" s="706"/>
      <c r="L229" s="706"/>
      <c r="M229" s="706"/>
      <c r="N229" s="706"/>
      <c r="O229" s="690"/>
    </row>
    <row r="230" spans="1:15">
      <c r="A230" s="266" t="s">
        <v>221</v>
      </c>
      <c r="B230" s="546">
        <v>170709.011882177</v>
      </c>
      <c r="C230" s="535">
        <v>0.16174112560663501</v>
      </c>
      <c r="D230" s="535">
        <v>0.14135924504502301</v>
      </c>
      <c r="E230" s="535">
        <v>7.2279541880827095E-2</v>
      </c>
      <c r="F230" s="535">
        <v>4.6258073889615801E-2</v>
      </c>
      <c r="G230" s="535">
        <v>2.1018176302724401E-2</v>
      </c>
      <c r="H230" s="553">
        <v>0</v>
      </c>
      <c r="I230" s="535">
        <v>6.1026727840857104E-3</v>
      </c>
      <c r="J230" s="535">
        <v>7.54986498351131E-4</v>
      </c>
      <c r="K230" s="535">
        <v>2.4484652175641702E-3</v>
      </c>
      <c r="L230" s="535">
        <v>8.31807691531425E-2</v>
      </c>
      <c r="M230" s="535">
        <v>0.44193336182805998</v>
      </c>
      <c r="N230" s="535">
        <v>0</v>
      </c>
      <c r="O230" s="535">
        <v>2.2923581843432399E-2</v>
      </c>
    </row>
    <row r="231" spans="1:15">
      <c r="A231" s="266" t="s">
        <v>222</v>
      </c>
      <c r="B231" s="545">
        <v>88540.312825406028</v>
      </c>
      <c r="C231" s="536">
        <v>0.30988376862928457</v>
      </c>
      <c r="D231" s="536">
        <v>6.8053384023555874E-2</v>
      </c>
      <c r="E231" s="536">
        <v>1.2492314333864295E-2</v>
      </c>
      <c r="F231" s="536">
        <v>0.11194377332324577</v>
      </c>
      <c r="G231" s="536">
        <v>0.32462731945210965</v>
      </c>
      <c r="H231" s="536">
        <v>0</v>
      </c>
      <c r="I231" s="536">
        <v>2.4840860891959136E-3</v>
      </c>
      <c r="J231" s="536">
        <v>2.4868834790059118E-2</v>
      </c>
      <c r="K231" s="536">
        <v>1.3809858418615699E-4</v>
      </c>
      <c r="L231" s="536">
        <v>2.2103032248646143E-4</v>
      </c>
      <c r="M231" s="536">
        <v>0.14148170000737681</v>
      </c>
      <c r="N231" s="536">
        <v>0</v>
      </c>
      <c r="O231" s="536">
        <v>3.8056904444970512E-3</v>
      </c>
    </row>
    <row r="232" spans="1:15">
      <c r="A232" s="266" t="s">
        <v>223</v>
      </c>
      <c r="B232" s="557">
        <v>14035.63</v>
      </c>
      <c r="C232" s="556">
        <v>0.69199999999999995</v>
      </c>
      <c r="D232" s="556">
        <v>8.5024152483425403E-2</v>
      </c>
      <c r="E232" s="556">
        <v>2.2549810638026101E-2</v>
      </c>
      <c r="F232" s="556">
        <v>1.79155735792268E-4</v>
      </c>
      <c r="G232" s="556">
        <v>2.7831833427183199E-2</v>
      </c>
      <c r="H232" s="556">
        <v>0.16948898262943199</v>
      </c>
      <c r="I232" s="556">
        <v>2.9193120893845998E-3</v>
      </c>
      <c r="J232" s="535"/>
      <c r="K232" s="536"/>
      <c r="L232" s="536"/>
      <c r="M232" s="536"/>
      <c r="N232" s="536"/>
      <c r="O232" s="535"/>
    </row>
    <row r="233" spans="1:15" ht="17.25">
      <c r="A233" s="266" t="s">
        <v>498</v>
      </c>
      <c r="B233" s="546">
        <v>12964</v>
      </c>
      <c r="C233" s="547">
        <v>0.80238421000000004</v>
      </c>
      <c r="D233" s="547">
        <v>4.7148659680000003E-2</v>
      </c>
      <c r="E233" s="547">
        <v>2.42254259E-2</v>
      </c>
      <c r="F233" s="548">
        <v>0</v>
      </c>
      <c r="G233" s="547">
        <v>7.0401607589999998E-2</v>
      </c>
      <c r="H233" s="547">
        <v>5.5840096829999998E-2</v>
      </c>
      <c r="I233" s="549">
        <v>0</v>
      </c>
      <c r="J233" s="549">
        <v>0</v>
      </c>
      <c r="K233" s="549">
        <v>0</v>
      </c>
      <c r="L233" s="549">
        <v>0</v>
      </c>
      <c r="M233" s="549">
        <v>0</v>
      </c>
      <c r="N233" s="549">
        <v>0</v>
      </c>
      <c r="O233" s="550">
        <v>0</v>
      </c>
    </row>
    <row r="234" spans="1:15">
      <c r="A234" s="266" t="s">
        <v>224</v>
      </c>
      <c r="B234" s="545"/>
      <c r="C234" s="537">
        <v>0.47486241946478031</v>
      </c>
      <c r="D234" s="537">
        <v>4.6355845285432205E-2</v>
      </c>
      <c r="E234" s="537">
        <v>8.9375483075317064E-2</v>
      </c>
      <c r="F234" s="537">
        <v>5.8302820913022593E-2</v>
      </c>
      <c r="G234" s="537">
        <v>6.0271480827601656E-2</v>
      </c>
      <c r="H234" s="537">
        <v>0</v>
      </c>
      <c r="I234" s="537">
        <v>1.1432394997705252E-3</v>
      </c>
      <c r="J234" s="537">
        <v>1.120379331943555E-3</v>
      </c>
      <c r="K234" s="537">
        <v>3.8701668276994701E-3</v>
      </c>
      <c r="L234" s="537">
        <v>0.23677952757678952</v>
      </c>
      <c r="M234" s="537">
        <v>0</v>
      </c>
      <c r="N234" s="537">
        <v>0</v>
      </c>
      <c r="O234" s="537">
        <v>2.7918637197643287E-2</v>
      </c>
    </row>
    <row r="235" spans="1:15">
      <c r="A235" s="266" t="s">
        <v>369</v>
      </c>
      <c r="B235" s="558">
        <v>696.50999999999988</v>
      </c>
      <c r="C235" s="552">
        <v>0.16350000000000001</v>
      </c>
      <c r="D235" s="555">
        <v>4.4089999999999998</v>
      </c>
      <c r="E235" s="552">
        <v>0.89170000000000005</v>
      </c>
      <c r="F235" s="552">
        <v>0.3695</v>
      </c>
      <c r="G235" s="552">
        <v>0.31180000000000002</v>
      </c>
      <c r="H235" s="552">
        <v>0</v>
      </c>
      <c r="I235" s="552">
        <v>1.01E-2</v>
      </c>
      <c r="J235" s="552">
        <v>2.1299999999999999E-2</v>
      </c>
      <c r="K235" s="552">
        <v>0.3216</v>
      </c>
      <c r="L235" s="552">
        <v>8.0999999999999996E-3</v>
      </c>
      <c r="M235" s="552">
        <v>0.29899999999999999</v>
      </c>
      <c r="N235" s="535">
        <v>0</v>
      </c>
      <c r="O235" s="535">
        <v>0.15959999999999999</v>
      </c>
    </row>
    <row r="236" spans="1:15">
      <c r="A236" s="266" t="s">
        <v>363</v>
      </c>
      <c r="B236" s="545"/>
      <c r="C236" s="537"/>
      <c r="D236" s="537"/>
      <c r="E236" s="537"/>
      <c r="F236" s="537"/>
      <c r="G236" s="537"/>
      <c r="H236" s="537"/>
      <c r="I236" s="537"/>
      <c r="J236" s="537"/>
      <c r="K236" s="537"/>
      <c r="L236" s="537"/>
      <c r="M236" s="537"/>
      <c r="N236" s="537"/>
      <c r="O236" s="537"/>
    </row>
    <row r="237" spans="1:15">
      <c r="A237" s="266" t="s">
        <v>8</v>
      </c>
      <c r="B237" s="546"/>
      <c r="C237" s="535">
        <v>0.15635243556339801</v>
      </c>
      <c r="D237" s="535">
        <v>8.6593109084218703E-2</v>
      </c>
      <c r="E237" s="535">
        <v>7.3703088211617404E-2</v>
      </c>
      <c r="F237" s="535">
        <v>0.177786517404703</v>
      </c>
      <c r="G237" s="535">
        <v>4.2623881334240603E-2</v>
      </c>
      <c r="H237" s="535">
        <v>2.37998486756275E-2</v>
      </c>
      <c r="I237" s="535">
        <v>9.7229611625993008E-3</v>
      </c>
      <c r="J237" s="535">
        <v>7.1681600987795599E-3</v>
      </c>
      <c r="K237" s="536">
        <v>1.37720929317771E-2</v>
      </c>
      <c r="L237" s="536">
        <v>2.8922250520647301E-4</v>
      </c>
      <c r="M237" s="536">
        <v>0.402600976920026</v>
      </c>
      <c r="N237" s="536">
        <v>0</v>
      </c>
      <c r="O237" s="536">
        <v>5.5877061078061299E-3</v>
      </c>
    </row>
    <row r="238" spans="1:15">
      <c r="A238" s="266" t="s">
        <v>225</v>
      </c>
      <c r="B238" s="546">
        <v>13388.200772566393</v>
      </c>
      <c r="C238" s="535">
        <v>0.7823439083553827</v>
      </c>
      <c r="D238" s="535">
        <v>8.9093090206621872E-2</v>
      </c>
      <c r="E238" s="535">
        <v>5.4563876538633607E-2</v>
      </c>
      <c r="F238" s="535">
        <v>0</v>
      </c>
      <c r="G238" s="535">
        <v>7.3508128315628432E-2</v>
      </c>
      <c r="H238" s="535"/>
      <c r="I238" s="535"/>
      <c r="J238" s="535"/>
      <c r="K238" s="535"/>
      <c r="L238" s="535"/>
      <c r="M238" s="535"/>
      <c r="N238" s="535"/>
      <c r="O238" s="535"/>
    </row>
    <row r="239" spans="1:15">
      <c r="A239" s="267" t="s">
        <v>9</v>
      </c>
      <c r="B239" s="545">
        <v>17351.370161480481</v>
      </c>
      <c r="C239" s="535">
        <v>0.55098692641406899</v>
      </c>
      <c r="D239" s="535">
        <v>4.62121819304704E-2</v>
      </c>
      <c r="E239" s="535">
        <v>0.214068788841279</v>
      </c>
      <c r="F239" s="535">
        <v>1.2630722188492201E-3</v>
      </c>
      <c r="G239" s="535">
        <v>0</v>
      </c>
      <c r="H239" s="535">
        <v>0</v>
      </c>
      <c r="I239" s="535">
        <v>0.15350454126622901</v>
      </c>
      <c r="J239" s="535">
        <v>0</v>
      </c>
      <c r="K239" s="536">
        <v>0</v>
      </c>
      <c r="L239" s="536">
        <v>0</v>
      </c>
      <c r="M239" s="536">
        <v>0</v>
      </c>
      <c r="N239" s="536">
        <v>0</v>
      </c>
      <c r="O239" s="535">
        <v>3.3973846381013403E-2</v>
      </c>
    </row>
    <row r="240" spans="1:15">
      <c r="A240" s="306" t="s">
        <v>10</v>
      </c>
      <c r="B240" s="545"/>
      <c r="C240" s="535"/>
      <c r="D240" s="535"/>
      <c r="E240" s="535"/>
      <c r="F240" s="535"/>
      <c r="G240" s="535"/>
      <c r="H240" s="535"/>
      <c r="I240" s="535"/>
      <c r="J240" s="535"/>
      <c r="K240" s="535"/>
      <c r="L240" s="535"/>
      <c r="M240" s="535"/>
      <c r="N240" s="535"/>
      <c r="O240" s="535"/>
    </row>
    <row r="241" spans="1:15">
      <c r="A241" s="266" t="s">
        <v>226</v>
      </c>
      <c r="B241" s="71"/>
      <c r="C241" s="71"/>
      <c r="D241" s="71"/>
      <c r="E241" s="71"/>
      <c r="F241" s="71"/>
      <c r="G241" s="71"/>
      <c r="H241" s="71"/>
      <c r="I241" s="71"/>
      <c r="J241" s="71"/>
      <c r="K241" s="71"/>
      <c r="L241" s="71"/>
      <c r="M241" s="71"/>
      <c r="N241" s="71"/>
      <c r="O241" s="71"/>
    </row>
    <row r="242" spans="1:15">
      <c r="A242" s="29" t="s">
        <v>227</v>
      </c>
      <c r="B242" s="29"/>
      <c r="C242" s="29"/>
      <c r="D242" s="29"/>
      <c r="E242" s="29"/>
      <c r="F242" s="29"/>
      <c r="G242" s="29"/>
      <c r="H242" s="29"/>
      <c r="I242" s="29"/>
      <c r="J242" s="29"/>
      <c r="K242" s="29"/>
      <c r="L242" s="29"/>
      <c r="M242" s="29"/>
      <c r="N242" s="29"/>
      <c r="O242" s="29"/>
    </row>
    <row r="243" spans="1:15">
      <c r="A243" s="29" t="s">
        <v>228</v>
      </c>
      <c r="B243" s="29"/>
      <c r="C243" s="29"/>
      <c r="D243" s="29"/>
      <c r="E243" s="29"/>
      <c r="F243" s="29"/>
      <c r="G243" s="29"/>
      <c r="H243" s="29"/>
      <c r="I243" s="29"/>
      <c r="J243" s="29"/>
      <c r="K243" s="29"/>
      <c r="L243" s="29"/>
      <c r="M243" s="29"/>
      <c r="N243" s="29"/>
      <c r="O243" s="29"/>
    </row>
    <row r="244" spans="1:15">
      <c r="A244" s="307" t="s">
        <v>344</v>
      </c>
    </row>
    <row r="245" spans="1:15">
      <c r="A245" s="307" t="s">
        <v>343</v>
      </c>
    </row>
    <row r="246" spans="1:15">
      <c r="A246" s="88" t="s">
        <v>399</v>
      </c>
    </row>
    <row r="247" spans="1:15">
      <c r="A247" s="88" t="s">
        <v>455</v>
      </c>
    </row>
    <row r="248" spans="1:15">
      <c r="A248" s="522" t="s">
        <v>456</v>
      </c>
    </row>
    <row r="252" spans="1:15">
      <c r="A252" s="12" t="s">
        <v>491</v>
      </c>
    </row>
    <row r="253" spans="1:15">
      <c r="A253" s="683" t="s">
        <v>0</v>
      </c>
      <c r="B253" s="683" t="s">
        <v>211</v>
      </c>
      <c r="C253" s="686" t="s">
        <v>212</v>
      </c>
      <c r="D253" s="687"/>
      <c r="E253" s="687"/>
      <c r="F253" s="687"/>
      <c r="G253" s="687"/>
      <c r="H253" s="688"/>
      <c r="I253" s="686" t="s">
        <v>213</v>
      </c>
      <c r="J253" s="687"/>
      <c r="K253" s="687"/>
      <c r="L253" s="687"/>
      <c r="M253" s="687"/>
      <c r="N253" s="688"/>
      <c r="O253" s="683" t="s">
        <v>21</v>
      </c>
    </row>
    <row r="254" spans="1:15" ht="60">
      <c r="A254" s="684"/>
      <c r="B254" s="684"/>
      <c r="C254" s="302" t="s">
        <v>214</v>
      </c>
      <c r="D254" s="302" t="s">
        <v>215</v>
      </c>
      <c r="E254" s="302" t="s">
        <v>216</v>
      </c>
      <c r="F254" s="302" t="s">
        <v>217</v>
      </c>
      <c r="G254" s="302" t="s">
        <v>218</v>
      </c>
      <c r="H254" s="302" t="s">
        <v>219</v>
      </c>
      <c r="I254" s="302" t="s">
        <v>214</v>
      </c>
      <c r="J254" s="302" t="s">
        <v>215</v>
      </c>
      <c r="K254" s="302" t="s">
        <v>216</v>
      </c>
      <c r="L254" s="302" t="s">
        <v>217</v>
      </c>
      <c r="M254" s="302" t="s">
        <v>218</v>
      </c>
      <c r="N254" s="302" t="s">
        <v>219</v>
      </c>
      <c r="O254" s="705"/>
    </row>
    <row r="255" spans="1:15">
      <c r="A255" s="685"/>
      <c r="B255" s="685"/>
      <c r="C255" s="689" t="s">
        <v>244</v>
      </c>
      <c r="D255" s="706"/>
      <c r="E255" s="706"/>
      <c r="F255" s="706"/>
      <c r="G255" s="706"/>
      <c r="H255" s="706"/>
      <c r="I255" s="706"/>
      <c r="J255" s="706"/>
      <c r="K255" s="706"/>
      <c r="L255" s="706"/>
      <c r="M255" s="706"/>
      <c r="N255" s="706"/>
      <c r="O255" s="690"/>
    </row>
    <row r="256" spans="1:15">
      <c r="A256" s="266" t="s">
        <v>221</v>
      </c>
      <c r="B256" s="546">
        <v>176317.12150450141</v>
      </c>
      <c r="C256" s="535">
        <v>0.215260049140095</v>
      </c>
      <c r="D256" s="535">
        <v>0.17970357844333401</v>
      </c>
      <c r="E256" s="535">
        <v>8.6825534460429898E-2</v>
      </c>
      <c r="F256" s="535">
        <v>6.07214840793978E-2</v>
      </c>
      <c r="G256" s="535">
        <v>2.0085176909197401E-2</v>
      </c>
      <c r="H256" s="535">
        <v>0</v>
      </c>
      <c r="I256" s="535">
        <v>1.6954093808706602E-2</v>
      </c>
      <c r="J256" s="535">
        <v>1.7445991041985501E-3</v>
      </c>
      <c r="K256" s="535">
        <v>4.7689467258717703E-3</v>
      </c>
      <c r="L256" s="535">
        <v>7.6466080362936298E-2</v>
      </c>
      <c r="M256" s="535">
        <v>0.29025641340158398</v>
      </c>
      <c r="N256" s="535">
        <v>0</v>
      </c>
      <c r="O256" s="535">
        <v>4.7214044063541599E-2</v>
      </c>
    </row>
    <row r="257" spans="1:15">
      <c r="A257" s="266" t="s">
        <v>222</v>
      </c>
      <c r="B257" s="559">
        <v>69567.569873310887</v>
      </c>
      <c r="C257" s="536">
        <v>0.285868415412252</v>
      </c>
      <c r="D257" s="536">
        <v>8.2101132810317376E-2</v>
      </c>
      <c r="E257" s="536">
        <v>1.0686383022060288E-2</v>
      </c>
      <c r="F257" s="536">
        <v>8.5613430923513048E-2</v>
      </c>
      <c r="G257" s="536">
        <v>0.32090640221246663</v>
      </c>
      <c r="H257" s="536">
        <v>0</v>
      </c>
      <c r="I257" s="536">
        <v>5.0498266931444605E-3</v>
      </c>
      <c r="J257" s="536">
        <v>2.2246451629780957E-2</v>
      </c>
      <c r="K257" s="536">
        <v>2.6585379861028311E-5</v>
      </c>
      <c r="L257" s="536">
        <v>1.4760070354002906E-4</v>
      </c>
      <c r="M257" s="536">
        <v>0.19854650065024126</v>
      </c>
      <c r="N257" s="536">
        <v>0</v>
      </c>
      <c r="O257" s="536">
        <v>-1.1192729448233931E-2</v>
      </c>
    </row>
    <row r="258" spans="1:15">
      <c r="A258" s="266" t="s">
        <v>223</v>
      </c>
      <c r="B258" s="557"/>
      <c r="C258" s="535">
        <v>0.603459416136362</v>
      </c>
      <c r="D258" s="535">
        <v>7.64196056229271E-2</v>
      </c>
      <c r="E258" s="535">
        <v>1.8330413531227299E-2</v>
      </c>
      <c r="F258" s="535">
        <v>2.4429246013820901E-4</v>
      </c>
      <c r="G258" s="535">
        <v>2.09142397388709E-2</v>
      </c>
      <c r="H258" s="535">
        <v>0</v>
      </c>
      <c r="I258" s="535">
        <v>0</v>
      </c>
      <c r="J258" s="535">
        <v>0</v>
      </c>
      <c r="K258" s="535">
        <v>0</v>
      </c>
      <c r="L258" s="535">
        <v>0</v>
      </c>
      <c r="M258" s="535">
        <v>0.27749458329422</v>
      </c>
      <c r="N258" s="535">
        <v>0</v>
      </c>
      <c r="O258" s="535">
        <v>3.1374492162532402E-3</v>
      </c>
    </row>
    <row r="259" spans="1:15" ht="17.25">
      <c r="A259" s="266" t="s">
        <v>498</v>
      </c>
      <c r="B259" s="546"/>
      <c r="C259" s="536"/>
      <c r="D259" s="536"/>
      <c r="E259" s="536"/>
      <c r="F259" s="536"/>
      <c r="G259" s="536"/>
      <c r="H259" s="536"/>
      <c r="I259" s="535"/>
      <c r="J259" s="535"/>
      <c r="K259" s="535"/>
      <c r="L259" s="535"/>
      <c r="M259" s="535"/>
      <c r="N259" s="535"/>
      <c r="O259" s="535"/>
    </row>
    <row r="260" spans="1:15">
      <c r="A260" s="266" t="s">
        <v>224</v>
      </c>
      <c r="B260" s="546">
        <v>268304.61715720565</v>
      </c>
      <c r="C260" s="560">
        <v>0.47598330958157298</v>
      </c>
      <c r="D260" s="560">
        <v>4.7773921248182402E-2</v>
      </c>
      <c r="E260" s="560">
        <v>9.1134580575208304E-2</v>
      </c>
      <c r="F260" s="560">
        <v>6.0894630486825002E-2</v>
      </c>
      <c r="G260" s="560">
        <v>6.9493175342839802E-2</v>
      </c>
      <c r="H260" s="560">
        <v>0</v>
      </c>
      <c r="I260" s="560">
        <v>2.5786759315490201E-3</v>
      </c>
      <c r="J260" s="560">
        <v>1.91831298190532E-3</v>
      </c>
      <c r="K260" s="560">
        <v>3.2956996915906498E-3</v>
      </c>
      <c r="L260" s="560">
        <v>0.216756600671176</v>
      </c>
      <c r="M260" s="560">
        <v>0</v>
      </c>
      <c r="N260" s="560">
        <v>0</v>
      </c>
      <c r="O260" s="560">
        <v>4.5797068254910298E-2</v>
      </c>
    </row>
    <row r="261" spans="1:15">
      <c r="A261" s="266" t="s">
        <v>369</v>
      </c>
      <c r="B261" s="558">
        <v>692.62</v>
      </c>
      <c r="C261" s="535"/>
      <c r="D261" s="535"/>
      <c r="E261" s="535"/>
      <c r="F261" s="535"/>
      <c r="G261" s="535"/>
      <c r="H261" s="535"/>
      <c r="I261" s="535"/>
      <c r="J261" s="535"/>
      <c r="K261" s="535"/>
      <c r="L261" s="535"/>
      <c r="M261" s="535"/>
      <c r="N261" s="536"/>
      <c r="O261" s="535"/>
    </row>
    <row r="262" spans="1:15">
      <c r="A262" s="266" t="s">
        <v>363</v>
      </c>
      <c r="B262" s="545"/>
      <c r="C262" s="561">
        <v>0.4052</v>
      </c>
      <c r="D262" s="561">
        <v>0.43859999999999999</v>
      </c>
      <c r="E262" s="561"/>
      <c r="F262" s="561">
        <v>0.1484</v>
      </c>
      <c r="G262" s="561">
        <v>2.5000000000000001E-3</v>
      </c>
      <c r="H262" s="562"/>
      <c r="I262" s="562"/>
      <c r="J262" s="562"/>
      <c r="K262" s="562"/>
      <c r="L262" s="562"/>
      <c r="M262" s="562"/>
      <c r="N262" s="562"/>
      <c r="O262" s="562"/>
    </row>
    <row r="263" spans="1:15">
      <c r="A263" s="266" t="s">
        <v>8</v>
      </c>
      <c r="B263" s="546"/>
      <c r="C263" s="563">
        <v>0.19160967890619399</v>
      </c>
      <c r="D263" s="563">
        <v>9.7218642691002097E-2</v>
      </c>
      <c r="E263" s="563">
        <v>7.8882685792303495E-2</v>
      </c>
      <c r="F263" s="563">
        <v>0.198484302449772</v>
      </c>
      <c r="G263" s="563">
        <v>4.9216476101016898E-2</v>
      </c>
      <c r="H263" s="563">
        <v>1.61808291053178E-2</v>
      </c>
      <c r="I263" s="563">
        <v>2.44466997855123E-2</v>
      </c>
      <c r="J263" s="563">
        <v>1.27742583602889E-2</v>
      </c>
      <c r="K263" s="563">
        <v>2.0417763192901599E-2</v>
      </c>
      <c r="L263" s="563">
        <v>7.1626210531399898E-5</v>
      </c>
      <c r="M263" s="563">
        <v>0.31176572123822499</v>
      </c>
      <c r="N263" s="563">
        <v>0</v>
      </c>
      <c r="O263" s="563">
        <v>-1.06868383306534E-5</v>
      </c>
    </row>
    <row r="264" spans="1:15">
      <c r="A264" s="266" t="s">
        <v>225</v>
      </c>
      <c r="B264" s="532">
        <v>15245.813196169631</v>
      </c>
      <c r="C264" s="536">
        <v>0.77563165743847984</v>
      </c>
      <c r="D264" s="536">
        <v>9.8833633990330003E-2</v>
      </c>
      <c r="E264" s="536">
        <v>3.6702694195320004E-2</v>
      </c>
      <c r="F264" s="536">
        <v>0</v>
      </c>
      <c r="G264" s="536">
        <v>8.8814320858879997E-2</v>
      </c>
      <c r="H264" s="562"/>
      <c r="I264" s="562"/>
      <c r="J264" s="562"/>
      <c r="K264" s="562"/>
      <c r="L264" s="562"/>
      <c r="M264" s="562"/>
      <c r="N264" s="562"/>
      <c r="O264" s="562"/>
    </row>
    <row r="265" spans="1:15">
      <c r="A265" s="267" t="s">
        <v>9</v>
      </c>
      <c r="B265" s="546">
        <v>22300.781061471342</v>
      </c>
      <c r="C265" s="535">
        <v>0.55603276738064</v>
      </c>
      <c r="D265" s="535">
        <v>5.8054656789486597E-2</v>
      </c>
      <c r="E265" s="535">
        <v>0.210087710803155</v>
      </c>
      <c r="F265" s="535">
        <v>1.00783691531696E-3</v>
      </c>
      <c r="G265" s="536">
        <v>0</v>
      </c>
      <c r="H265" s="536">
        <v>0</v>
      </c>
      <c r="I265" s="535">
        <v>0.148592208629376</v>
      </c>
      <c r="J265" s="536">
        <v>0</v>
      </c>
      <c r="K265" s="536">
        <v>0</v>
      </c>
      <c r="L265" s="536">
        <v>0</v>
      </c>
      <c r="M265" s="536">
        <v>0</v>
      </c>
      <c r="N265" s="536">
        <v>0</v>
      </c>
      <c r="O265" s="535">
        <v>2.6224819482025499E-2</v>
      </c>
    </row>
    <row r="266" spans="1:15">
      <c r="A266" s="306" t="s">
        <v>10</v>
      </c>
      <c r="B266" s="545"/>
      <c r="C266" s="535"/>
      <c r="D266" s="535"/>
      <c r="E266" s="535"/>
      <c r="F266" s="535"/>
      <c r="G266" s="535"/>
      <c r="H266" s="535"/>
      <c r="I266" s="535"/>
      <c r="J266" s="535"/>
      <c r="K266" s="535"/>
      <c r="L266" s="535"/>
      <c r="M266" s="535"/>
      <c r="N266" s="535"/>
      <c r="O266" s="535"/>
    </row>
    <row r="267" spans="1:15">
      <c r="A267" s="266" t="s">
        <v>226</v>
      </c>
      <c r="B267" s="71"/>
      <c r="C267" s="71"/>
      <c r="D267" s="71"/>
      <c r="E267" s="71"/>
      <c r="F267" s="71"/>
      <c r="G267" s="71"/>
      <c r="H267" s="71"/>
      <c r="I267" s="71"/>
      <c r="J267" s="71"/>
      <c r="K267" s="71"/>
      <c r="L267" s="71"/>
      <c r="M267" s="71"/>
      <c r="N267" s="71"/>
      <c r="O267" s="71"/>
    </row>
    <row r="268" spans="1:15">
      <c r="A268" s="29" t="s">
        <v>227</v>
      </c>
      <c r="B268" s="29"/>
      <c r="C268" s="29"/>
      <c r="D268" s="29"/>
      <c r="E268" s="29"/>
      <c r="F268" s="29"/>
      <c r="G268" s="29"/>
      <c r="H268" s="29"/>
      <c r="I268" s="29"/>
      <c r="J268" s="29"/>
      <c r="K268" s="29"/>
      <c r="L268" s="29"/>
      <c r="M268" s="29"/>
      <c r="N268" s="29"/>
      <c r="O268" s="29"/>
    </row>
    <row r="269" spans="1:15">
      <c r="A269" s="29" t="s">
        <v>228</v>
      </c>
      <c r="B269" s="29"/>
      <c r="C269" s="29"/>
      <c r="D269" s="29"/>
      <c r="E269" s="29"/>
      <c r="F269" s="29"/>
      <c r="G269" s="29"/>
      <c r="H269" s="29"/>
      <c r="I269" s="29"/>
      <c r="J269" s="29"/>
      <c r="K269" s="29"/>
      <c r="L269" s="29"/>
      <c r="M269" s="29"/>
      <c r="N269" s="29"/>
      <c r="O269" s="29"/>
    </row>
    <row r="270" spans="1:15">
      <c r="A270" s="307" t="s">
        <v>344</v>
      </c>
    </row>
    <row r="271" spans="1:15">
      <c r="A271" s="307" t="s">
        <v>343</v>
      </c>
    </row>
    <row r="272" spans="1:15">
      <c r="A272" s="88" t="s">
        <v>399</v>
      </c>
    </row>
    <row r="273" spans="1:15">
      <c r="A273" s="88" t="s">
        <v>455</v>
      </c>
    </row>
    <row r="274" spans="1:15">
      <c r="A274" s="522" t="s">
        <v>456</v>
      </c>
    </row>
    <row r="278" spans="1:15">
      <c r="A278" s="12" t="s">
        <v>503</v>
      </c>
    </row>
    <row r="279" spans="1:15">
      <c r="A279" s="683" t="s">
        <v>0</v>
      </c>
      <c r="B279" s="683" t="s">
        <v>211</v>
      </c>
      <c r="C279" s="686" t="s">
        <v>212</v>
      </c>
      <c r="D279" s="687"/>
      <c r="E279" s="687"/>
      <c r="F279" s="687"/>
      <c r="G279" s="687"/>
      <c r="H279" s="688"/>
      <c r="I279" s="686" t="s">
        <v>213</v>
      </c>
      <c r="J279" s="687"/>
      <c r="K279" s="687"/>
      <c r="L279" s="687"/>
      <c r="M279" s="687"/>
      <c r="N279" s="688"/>
      <c r="O279" s="683" t="s">
        <v>21</v>
      </c>
    </row>
    <row r="280" spans="1:15" ht="60">
      <c r="A280" s="684"/>
      <c r="B280" s="684"/>
      <c r="C280" s="302" t="s">
        <v>214</v>
      </c>
      <c r="D280" s="302" t="s">
        <v>215</v>
      </c>
      <c r="E280" s="302" t="s">
        <v>216</v>
      </c>
      <c r="F280" s="302" t="s">
        <v>217</v>
      </c>
      <c r="G280" s="302" t="s">
        <v>218</v>
      </c>
      <c r="H280" s="302" t="s">
        <v>219</v>
      </c>
      <c r="I280" s="302" t="s">
        <v>214</v>
      </c>
      <c r="J280" s="302" t="s">
        <v>215</v>
      </c>
      <c r="K280" s="302" t="s">
        <v>216</v>
      </c>
      <c r="L280" s="302" t="s">
        <v>217</v>
      </c>
      <c r="M280" s="302" t="s">
        <v>218</v>
      </c>
      <c r="N280" s="302" t="s">
        <v>219</v>
      </c>
      <c r="O280" s="705"/>
    </row>
    <row r="281" spans="1:15">
      <c r="A281" s="685"/>
      <c r="B281" s="685"/>
      <c r="C281" s="689" t="s">
        <v>244</v>
      </c>
      <c r="D281" s="706"/>
      <c r="E281" s="706"/>
      <c r="F281" s="706"/>
      <c r="G281" s="706"/>
      <c r="H281" s="706"/>
      <c r="I281" s="706"/>
      <c r="J281" s="706"/>
      <c r="K281" s="706"/>
      <c r="L281" s="706"/>
      <c r="M281" s="706"/>
      <c r="N281" s="706"/>
      <c r="O281" s="690"/>
    </row>
    <row r="282" spans="1:15">
      <c r="A282" s="266" t="s">
        <v>221</v>
      </c>
      <c r="B282" s="592">
        <v>182526.36535143745</v>
      </c>
      <c r="C282" s="588">
        <v>0.207981489619145</v>
      </c>
      <c r="D282" s="588">
        <v>0.12611936874069399</v>
      </c>
      <c r="E282" s="588">
        <v>7.6545895553307194E-2</v>
      </c>
      <c r="F282" s="588">
        <v>6.5814436066914297E-2</v>
      </c>
      <c r="G282" s="588">
        <v>1.7223188001395402E-2</v>
      </c>
      <c r="H282" s="588">
        <v>0</v>
      </c>
      <c r="I282" s="588">
        <v>2.1943181680794802E-2</v>
      </c>
      <c r="J282" s="588">
        <v>7.4361102536257102E-4</v>
      </c>
      <c r="K282" s="588">
        <v>3.4752855738228701E-3</v>
      </c>
      <c r="L282" s="588">
        <v>0.130574025926535</v>
      </c>
      <c r="M282" s="588">
        <v>0.28981212314868698</v>
      </c>
      <c r="N282" s="588">
        <v>0</v>
      </c>
      <c r="O282" s="588">
        <v>5.9767394740973798E-2</v>
      </c>
    </row>
    <row r="283" spans="1:15">
      <c r="A283" s="266" t="s">
        <v>222</v>
      </c>
      <c r="B283" s="587">
        <v>106243.86977219032</v>
      </c>
      <c r="C283" s="588">
        <v>0.35866962573850908</v>
      </c>
      <c r="D283" s="588">
        <v>9.2570270263958199E-2</v>
      </c>
      <c r="E283" s="588">
        <v>8.6227307884281703E-3</v>
      </c>
      <c r="F283" s="588">
        <v>6.4204648162283967E-2</v>
      </c>
      <c r="G283" s="588">
        <v>0.25061599072868512</v>
      </c>
      <c r="H283" s="588">
        <v>0</v>
      </c>
      <c r="I283" s="588">
        <v>3.0568845051589574E-2</v>
      </c>
      <c r="J283" s="588">
        <v>1.686142575579986E-2</v>
      </c>
      <c r="K283" s="588">
        <v>0</v>
      </c>
      <c r="L283" s="588">
        <v>9.7916873364966165E-5</v>
      </c>
      <c r="M283" s="588">
        <v>0.14472564308288813</v>
      </c>
      <c r="N283" s="588">
        <v>0</v>
      </c>
      <c r="O283" s="588">
        <v>3.3062903554739044E-2</v>
      </c>
    </row>
    <row r="284" spans="1:15">
      <c r="A284" s="266" t="s">
        <v>223</v>
      </c>
      <c r="B284" s="593"/>
      <c r="C284" s="588">
        <v>0.60375866230426001</v>
      </c>
      <c r="D284" s="588">
        <v>6.0882079114431997E-2</v>
      </c>
      <c r="E284" s="588">
        <v>9.6067621544682295E-3</v>
      </c>
      <c r="F284" s="588">
        <v>2.03018219094195E-4</v>
      </c>
      <c r="G284" s="588">
        <v>1.2356491731179701E-2</v>
      </c>
      <c r="H284" s="588">
        <v>0</v>
      </c>
      <c r="I284" s="588">
        <v>0</v>
      </c>
      <c r="J284" s="588">
        <v>0</v>
      </c>
      <c r="K284" s="588">
        <v>0</v>
      </c>
      <c r="L284" s="588">
        <v>0</v>
      </c>
      <c r="M284" s="588">
        <v>0.31105294155897401</v>
      </c>
      <c r="N284" s="588">
        <v>0</v>
      </c>
      <c r="O284" s="588">
        <v>2.14004491759062E-3</v>
      </c>
    </row>
    <row r="285" spans="1:15" ht="17.25">
      <c r="A285" s="266" t="s">
        <v>498</v>
      </c>
      <c r="B285" s="546"/>
      <c r="C285" s="536"/>
      <c r="D285" s="536"/>
      <c r="E285" s="536"/>
      <c r="F285" s="536"/>
      <c r="G285" s="536"/>
      <c r="H285" s="536"/>
      <c r="I285" s="535"/>
      <c r="J285" s="535"/>
      <c r="K285" s="535"/>
      <c r="L285" s="535"/>
      <c r="M285" s="535"/>
      <c r="N285" s="535"/>
      <c r="O285" s="535"/>
    </row>
    <row r="286" spans="1:15">
      <c r="A286" s="266" t="s">
        <v>224</v>
      </c>
      <c r="B286" s="592">
        <v>351437.68595538446</v>
      </c>
      <c r="C286" s="588">
        <v>0.48241827551083816</v>
      </c>
      <c r="D286" s="588">
        <v>4.6848753816881736E-2</v>
      </c>
      <c r="E286" s="588">
        <v>8.4001483521840919E-2</v>
      </c>
      <c r="F286" s="588">
        <v>6.7750561297012846E-2</v>
      </c>
      <c r="G286" s="588">
        <v>6.7457289588054151E-2</v>
      </c>
      <c r="H286" s="588">
        <v>0</v>
      </c>
      <c r="I286" s="588">
        <v>1.5679679205784875E-3</v>
      </c>
      <c r="J286" s="588">
        <v>4.427367373038971E-3</v>
      </c>
      <c r="K286" s="588">
        <v>7.8733012583847217E-4</v>
      </c>
      <c r="L286" s="588">
        <v>0.21676058097661394</v>
      </c>
      <c r="M286" s="588">
        <v>0</v>
      </c>
      <c r="N286" s="588">
        <v>0</v>
      </c>
      <c r="O286" s="588">
        <v>2.7980389869302465E-2</v>
      </c>
    </row>
    <row r="287" spans="1:15">
      <c r="A287" s="266" t="s">
        <v>369</v>
      </c>
      <c r="B287" s="587">
        <f>SUM(C287:O287)*100</f>
        <v>737.57000000000016</v>
      </c>
      <c r="C287" s="588">
        <v>0.1042</v>
      </c>
      <c r="D287" s="588">
        <v>4.1957000000000004</v>
      </c>
      <c r="E287" s="588">
        <v>0.74309999999999998</v>
      </c>
      <c r="F287" s="588">
        <v>0.38779999999999998</v>
      </c>
      <c r="G287" s="588">
        <v>0.29830000000000001</v>
      </c>
      <c r="H287" s="588">
        <v>0</v>
      </c>
      <c r="I287" s="588">
        <v>0.1153</v>
      </c>
      <c r="J287" s="588">
        <v>0.94499999999999995</v>
      </c>
      <c r="K287" s="588">
        <v>0.3029</v>
      </c>
      <c r="L287" s="588">
        <v>6.4000000000000003E-3</v>
      </c>
      <c r="M287" s="588">
        <v>0.17349999999999999</v>
      </c>
      <c r="N287" s="588">
        <v>0</v>
      </c>
      <c r="O287" s="588">
        <v>0.10349999999999999</v>
      </c>
    </row>
    <row r="288" spans="1:15">
      <c r="A288" s="266" t="s">
        <v>363</v>
      </c>
      <c r="B288" s="545"/>
      <c r="C288" s="596">
        <v>335.5</v>
      </c>
      <c r="D288" s="596">
        <v>405.8</v>
      </c>
      <c r="E288" s="597"/>
      <c r="F288" s="596">
        <v>125.6</v>
      </c>
      <c r="G288" s="596">
        <v>2.1</v>
      </c>
      <c r="H288" s="597"/>
      <c r="I288" s="597"/>
      <c r="J288" s="597"/>
      <c r="K288" s="597"/>
      <c r="L288" s="597"/>
      <c r="M288" s="597"/>
      <c r="N288" s="597"/>
      <c r="O288" s="597"/>
    </row>
    <row r="289" spans="1:15">
      <c r="A289" s="266" t="s">
        <v>8</v>
      </c>
      <c r="B289" s="546"/>
      <c r="C289" s="588">
        <v>0.244394761283136</v>
      </c>
      <c r="D289" s="588">
        <v>7.5735469651742396E-2</v>
      </c>
      <c r="E289" s="588">
        <v>5.9672006750342899E-2</v>
      </c>
      <c r="F289" s="588">
        <v>0.17804095357271801</v>
      </c>
      <c r="G289" s="588">
        <v>4.1878614280960201E-2</v>
      </c>
      <c r="H289" s="588">
        <v>1.1765434262086601E-2</v>
      </c>
      <c r="I289" s="588">
        <v>6.7439100548141895E-2</v>
      </c>
      <c r="J289" s="588">
        <v>1.17342381498025E-2</v>
      </c>
      <c r="K289" s="588">
        <v>2.60403848781325E-2</v>
      </c>
      <c r="L289" s="588">
        <v>3.0202957462195001E-5</v>
      </c>
      <c r="M289" s="588">
        <v>0.29251290578051897</v>
      </c>
      <c r="N289" s="588">
        <v>0</v>
      </c>
      <c r="O289" s="588">
        <v>-9.2440721150447297E-3</v>
      </c>
    </row>
    <row r="290" spans="1:15">
      <c r="A290" s="266" t="s">
        <v>225</v>
      </c>
      <c r="B290" s="592">
        <v>16793.821389086603</v>
      </c>
      <c r="C290" s="588">
        <v>0.75870000000000004</v>
      </c>
      <c r="D290" s="588">
        <v>0.1038</v>
      </c>
      <c r="E290" s="588">
        <v>3.1288447571601E-2</v>
      </c>
      <c r="F290" s="588">
        <v>3.7366505979699997E-3</v>
      </c>
      <c r="G290" s="588">
        <v>0.10243750655571998</v>
      </c>
      <c r="H290" s="588">
        <v>0</v>
      </c>
      <c r="I290" s="588"/>
      <c r="J290" s="588"/>
      <c r="K290" s="588"/>
      <c r="L290" s="588"/>
      <c r="M290" s="588"/>
      <c r="N290" s="588"/>
      <c r="O290" s="588"/>
    </row>
    <row r="291" spans="1:15">
      <c r="A291" s="267" t="s">
        <v>9</v>
      </c>
      <c r="B291" s="587">
        <v>22553.872117571373</v>
      </c>
      <c r="C291" s="588">
        <v>0.55222361788103802</v>
      </c>
      <c r="D291" s="588">
        <v>6.5044136620788895E-2</v>
      </c>
      <c r="E291" s="588">
        <v>0.20739533036800201</v>
      </c>
      <c r="F291" s="588">
        <v>9.56071303920077E-4</v>
      </c>
      <c r="G291" s="588">
        <v>0</v>
      </c>
      <c r="H291" s="588">
        <v>0</v>
      </c>
      <c r="I291" s="588">
        <v>0.14841420094976099</v>
      </c>
      <c r="J291" s="588">
        <v>0</v>
      </c>
      <c r="K291" s="588">
        <v>0</v>
      </c>
      <c r="L291" s="588">
        <v>0</v>
      </c>
      <c r="M291" s="588">
        <v>0</v>
      </c>
      <c r="N291" s="588">
        <v>0</v>
      </c>
      <c r="O291" s="588">
        <v>2.5966642876490802E-2</v>
      </c>
    </row>
    <row r="292" spans="1:15">
      <c r="A292" s="306" t="s">
        <v>10</v>
      </c>
      <c r="B292" s="545"/>
      <c r="C292" s="535"/>
      <c r="D292" s="535"/>
      <c r="E292" s="535"/>
      <c r="F292" s="535"/>
      <c r="G292" s="535"/>
      <c r="H292" s="535"/>
      <c r="I292" s="535"/>
      <c r="J292" s="535"/>
      <c r="K292" s="535"/>
      <c r="L292" s="535"/>
      <c r="M292" s="535"/>
      <c r="N292" s="535"/>
      <c r="O292" s="535"/>
    </row>
    <row r="293" spans="1:15">
      <c r="A293" s="266" t="s">
        <v>226</v>
      </c>
      <c r="B293" s="71"/>
      <c r="C293" s="71"/>
      <c r="D293" s="71"/>
      <c r="E293" s="71"/>
      <c r="F293" s="71"/>
      <c r="G293" s="71"/>
      <c r="H293" s="71"/>
      <c r="I293" s="71"/>
      <c r="J293" s="71"/>
      <c r="K293" s="71"/>
      <c r="L293" s="71"/>
      <c r="M293" s="71"/>
      <c r="N293" s="71"/>
      <c r="O293" s="71"/>
    </row>
    <row r="294" spans="1:15">
      <c r="A294" s="29" t="s">
        <v>227</v>
      </c>
      <c r="B294" s="29"/>
      <c r="C294" s="29"/>
      <c r="D294" s="29"/>
      <c r="E294" s="29"/>
      <c r="F294" s="29"/>
      <c r="G294" s="29"/>
      <c r="H294" s="29"/>
      <c r="I294" s="29"/>
      <c r="J294" s="29"/>
      <c r="K294" s="29"/>
      <c r="L294" s="29"/>
      <c r="M294" s="29"/>
      <c r="N294" s="29"/>
      <c r="O294" s="29"/>
    </row>
    <row r="295" spans="1:15">
      <c r="A295" s="29" t="s">
        <v>228</v>
      </c>
      <c r="B295" s="29"/>
      <c r="C295" s="29"/>
      <c r="D295" s="29"/>
      <c r="E295" s="29"/>
      <c r="F295" s="29"/>
      <c r="G295" s="29"/>
      <c r="H295" s="29"/>
      <c r="I295" s="29"/>
      <c r="J295" s="29"/>
      <c r="K295" s="29"/>
      <c r="L295" s="29"/>
      <c r="M295" s="29"/>
      <c r="N295" s="29"/>
      <c r="O295" s="29"/>
    </row>
    <row r="296" spans="1:15">
      <c r="A296" s="307" t="s">
        <v>344</v>
      </c>
    </row>
    <row r="297" spans="1:15">
      <c r="A297" s="307" t="s">
        <v>343</v>
      </c>
    </row>
    <row r="298" spans="1:15">
      <c r="A298" s="88" t="s">
        <v>399</v>
      </c>
    </row>
    <row r="299" spans="1:15">
      <c r="A299" s="88" t="s">
        <v>455</v>
      </c>
    </row>
    <row r="300" spans="1:15">
      <c r="A300" s="522" t="s">
        <v>456</v>
      </c>
    </row>
    <row r="304" spans="1:15">
      <c r="A304" s="12" t="s">
        <v>522</v>
      </c>
    </row>
    <row r="305" spans="1:15">
      <c r="A305" s="683" t="s">
        <v>0</v>
      </c>
      <c r="B305" s="683" t="s">
        <v>211</v>
      </c>
      <c r="C305" s="686" t="s">
        <v>212</v>
      </c>
      <c r="D305" s="687"/>
      <c r="E305" s="687"/>
      <c r="F305" s="687"/>
      <c r="G305" s="687"/>
      <c r="H305" s="688"/>
      <c r="I305" s="686" t="s">
        <v>213</v>
      </c>
      <c r="J305" s="687"/>
      <c r="K305" s="687"/>
      <c r="L305" s="687"/>
      <c r="M305" s="687"/>
      <c r="N305" s="688"/>
      <c r="O305" s="683" t="s">
        <v>21</v>
      </c>
    </row>
    <row r="306" spans="1:15" ht="60">
      <c r="A306" s="684"/>
      <c r="B306" s="684"/>
      <c r="C306" s="302" t="s">
        <v>214</v>
      </c>
      <c r="D306" s="302" t="s">
        <v>215</v>
      </c>
      <c r="E306" s="302" t="s">
        <v>216</v>
      </c>
      <c r="F306" s="302" t="s">
        <v>217</v>
      </c>
      <c r="G306" s="302" t="s">
        <v>218</v>
      </c>
      <c r="H306" s="302" t="s">
        <v>219</v>
      </c>
      <c r="I306" s="302" t="s">
        <v>214</v>
      </c>
      <c r="J306" s="302" t="s">
        <v>215</v>
      </c>
      <c r="K306" s="302" t="s">
        <v>216</v>
      </c>
      <c r="L306" s="302" t="s">
        <v>217</v>
      </c>
      <c r="M306" s="302" t="s">
        <v>218</v>
      </c>
      <c r="N306" s="302" t="s">
        <v>219</v>
      </c>
      <c r="O306" s="705"/>
    </row>
    <row r="307" spans="1:15">
      <c r="A307" s="685"/>
      <c r="B307" s="685"/>
      <c r="C307" s="689" t="s">
        <v>244</v>
      </c>
      <c r="D307" s="706"/>
      <c r="E307" s="706"/>
      <c r="F307" s="706"/>
      <c r="G307" s="706"/>
      <c r="H307" s="706"/>
      <c r="I307" s="706"/>
      <c r="J307" s="706"/>
      <c r="K307" s="706"/>
      <c r="L307" s="706"/>
      <c r="M307" s="706"/>
      <c r="N307" s="706"/>
      <c r="O307" s="690"/>
    </row>
    <row r="308" spans="1:15">
      <c r="A308" s="266" t="s">
        <v>221</v>
      </c>
      <c r="B308" s="592">
        <v>186405.2259009525</v>
      </c>
      <c r="C308" s="672">
        <v>0.229735151066431</v>
      </c>
      <c r="D308" s="672">
        <v>0.11596306861512901</v>
      </c>
      <c r="E308" s="672">
        <v>7.5695327846819399E-2</v>
      </c>
      <c r="F308" s="672">
        <v>6.6964970206225896E-2</v>
      </c>
      <c r="G308" s="672">
        <v>1.35826202530962E-2</v>
      </c>
      <c r="H308" s="672">
        <v>0</v>
      </c>
      <c r="I308" s="672">
        <v>1.14323816215372E-2</v>
      </c>
      <c r="J308" s="672">
        <v>1.0582524588630101E-3</v>
      </c>
      <c r="K308" s="672">
        <v>2.6063420355626498E-3</v>
      </c>
      <c r="L308" s="672">
        <v>0.142206596989055</v>
      </c>
      <c r="M308" s="672">
        <v>0.28019425920124702</v>
      </c>
      <c r="N308" s="672">
        <v>0</v>
      </c>
      <c r="O308" s="672">
        <v>6.0561029863638698E-2</v>
      </c>
    </row>
    <row r="309" spans="1:15">
      <c r="A309" s="266" t="s">
        <v>222</v>
      </c>
      <c r="B309" s="592">
        <v>104869.289772405</v>
      </c>
      <c r="C309" s="672">
        <v>0.35524264964899244</v>
      </c>
      <c r="D309" s="672">
        <v>5.1188090939478126E-2</v>
      </c>
      <c r="E309" s="672">
        <v>5.9815686234960365E-3</v>
      </c>
      <c r="F309" s="672">
        <v>6.626702635455621E-2</v>
      </c>
      <c r="G309" s="672">
        <v>0.3048856822244157</v>
      </c>
      <c r="H309" s="672">
        <v>0</v>
      </c>
      <c r="I309" s="672">
        <v>3.0463230565564183E-2</v>
      </c>
      <c r="J309" s="672">
        <v>2.1295417026996201E-2</v>
      </c>
      <c r="K309" s="672">
        <v>0</v>
      </c>
      <c r="L309" s="672">
        <v>5.0133982495342512E-5</v>
      </c>
      <c r="M309" s="672">
        <v>0.15527594718119347</v>
      </c>
      <c r="N309" s="672">
        <v>0</v>
      </c>
      <c r="O309" s="672">
        <v>9.3502534528123148E-3</v>
      </c>
    </row>
    <row r="310" spans="1:15">
      <c r="A310" s="266" t="s">
        <v>223</v>
      </c>
      <c r="B310" s="592"/>
      <c r="C310" s="672">
        <v>0.58460970000000001</v>
      </c>
      <c r="D310" s="672">
        <v>4.4511589999999997E-2</v>
      </c>
      <c r="E310" s="672">
        <v>8.9029599999999997E-3</v>
      </c>
      <c r="F310" s="672">
        <v>5.766218E-6</v>
      </c>
      <c r="G310" s="672">
        <v>9.880705E-3</v>
      </c>
      <c r="H310" s="672">
        <v>0</v>
      </c>
      <c r="I310" s="672">
        <v>0</v>
      </c>
      <c r="J310" s="672">
        <v>0</v>
      </c>
      <c r="K310" s="672">
        <v>0</v>
      </c>
      <c r="L310" s="672">
        <v>0</v>
      </c>
      <c r="M310" s="672">
        <v>0.3507924</v>
      </c>
      <c r="N310" s="672">
        <v>0</v>
      </c>
      <c r="O310" s="672">
        <v>1.2969030000000001E-3</v>
      </c>
    </row>
    <row r="311" spans="1:15" ht="17.25">
      <c r="A311" s="266" t="s">
        <v>498</v>
      </c>
      <c r="B311" s="592"/>
      <c r="C311" s="672"/>
      <c r="D311" s="672"/>
      <c r="E311" s="672"/>
      <c r="F311" s="672"/>
      <c r="G311" s="672"/>
      <c r="H311" s="672"/>
      <c r="I311" s="672"/>
      <c r="J311" s="672"/>
      <c r="K311" s="672"/>
      <c r="L311" s="672"/>
      <c r="M311" s="672"/>
      <c r="N311" s="672"/>
      <c r="O311" s="672"/>
    </row>
    <row r="312" spans="1:15">
      <c r="A312" s="266" t="s">
        <v>224</v>
      </c>
      <c r="B312" s="592">
        <v>326140.26249922789</v>
      </c>
      <c r="C312" s="672">
        <v>0.46493021011862096</v>
      </c>
      <c r="D312" s="672">
        <v>4.3783393600033277E-2</v>
      </c>
      <c r="E312" s="672">
        <v>7.5419882031744226E-2</v>
      </c>
      <c r="F312" s="672">
        <v>5.0347729221319956E-2</v>
      </c>
      <c r="G312" s="672">
        <v>7.8572801951873661E-2</v>
      </c>
      <c r="H312" s="672">
        <v>0</v>
      </c>
      <c r="I312" s="672">
        <v>4.7828631110172578E-4</v>
      </c>
      <c r="J312" s="672">
        <v>5.4804115886381455E-4</v>
      </c>
      <c r="K312" s="672">
        <v>3.2488214187248589E-3</v>
      </c>
      <c r="L312" s="672">
        <v>0.25242860215812485</v>
      </c>
      <c r="M312" s="672">
        <v>0</v>
      </c>
      <c r="N312" s="672">
        <v>0</v>
      </c>
      <c r="O312" s="672">
        <v>3.0242232029592721E-2</v>
      </c>
    </row>
    <row r="313" spans="1:15">
      <c r="A313" s="266" t="s">
        <v>369</v>
      </c>
      <c r="B313" s="545">
        <f>SUM(C313:O313)</f>
        <v>804.2700000000001</v>
      </c>
      <c r="C313" s="597">
        <v>44.56</v>
      </c>
      <c r="D313" s="597">
        <v>463.92</v>
      </c>
      <c r="E313" s="597">
        <v>69.430000000000007</v>
      </c>
      <c r="F313" s="597">
        <v>42.78</v>
      </c>
      <c r="G313" s="597">
        <v>39.49</v>
      </c>
      <c r="H313" s="597">
        <v>0</v>
      </c>
      <c r="I313" s="597">
        <v>16.5</v>
      </c>
      <c r="J313" s="597">
        <v>48.4</v>
      </c>
      <c r="K313" s="597">
        <v>39.32</v>
      </c>
      <c r="L313" s="597">
        <v>0.73</v>
      </c>
      <c r="M313" s="597">
        <v>25.08</v>
      </c>
      <c r="N313" s="597">
        <v>0</v>
      </c>
      <c r="O313" s="597">
        <v>14.06</v>
      </c>
    </row>
    <row r="314" spans="1:15">
      <c r="A314" s="266" t="s">
        <v>363</v>
      </c>
      <c r="B314" s="545"/>
      <c r="C314" s="597">
        <v>394.8</v>
      </c>
      <c r="D314" s="597">
        <v>395.6</v>
      </c>
      <c r="E314" s="597" t="s">
        <v>497</v>
      </c>
      <c r="F314" s="597">
        <v>143.19999999999999</v>
      </c>
      <c r="G314" s="597" t="s">
        <v>497</v>
      </c>
      <c r="H314" s="597" t="s">
        <v>497</v>
      </c>
      <c r="I314" s="597" t="s">
        <v>497</v>
      </c>
      <c r="J314" s="597" t="s">
        <v>497</v>
      </c>
      <c r="K314" s="597" t="s">
        <v>497</v>
      </c>
      <c r="L314" s="597" t="s">
        <v>497</v>
      </c>
      <c r="M314" s="597" t="s">
        <v>497</v>
      </c>
      <c r="N314" s="597" t="s">
        <v>497</v>
      </c>
      <c r="O314" s="597" t="s">
        <v>497</v>
      </c>
    </row>
    <row r="315" spans="1:15">
      <c r="A315" s="266" t="s">
        <v>8</v>
      </c>
      <c r="B315" s="592"/>
      <c r="C315" s="672">
        <v>19.005547278931871</v>
      </c>
      <c r="D315" s="672">
        <v>8.6578386416112121</v>
      </c>
      <c r="E315" s="672">
        <v>4.3743880703557654</v>
      </c>
      <c r="F315" s="672">
        <v>17.643709888420165</v>
      </c>
      <c r="G315" s="672">
        <v>3.7357710568739879</v>
      </c>
      <c r="H315" s="672">
        <v>1.2823894950978936</v>
      </c>
      <c r="I315" s="672">
        <v>2.968691785686036</v>
      </c>
      <c r="J315" s="672">
        <v>1.4908060226043873</v>
      </c>
      <c r="K315" s="672">
        <v>2.2094978958244922</v>
      </c>
      <c r="L315" s="672">
        <v>0.29028391455327973</v>
      </c>
      <c r="M315" s="672">
        <v>39.371888281952714</v>
      </c>
      <c r="N315" s="672">
        <v>0</v>
      </c>
      <c r="O315" s="672">
        <v>-1.0308123319118039</v>
      </c>
    </row>
    <row r="316" spans="1:15">
      <c r="A316" s="266" t="s">
        <v>225</v>
      </c>
      <c r="B316" s="592">
        <v>18227.82780763393</v>
      </c>
      <c r="C316" s="672">
        <v>71.92</v>
      </c>
      <c r="D316" s="672">
        <v>9.49</v>
      </c>
      <c r="E316" s="672">
        <v>2.88</v>
      </c>
      <c r="F316" s="672">
        <v>0.34184346291599998</v>
      </c>
      <c r="G316" s="672">
        <v>15.372404837287</v>
      </c>
      <c r="H316" s="672">
        <v>0</v>
      </c>
      <c r="I316" s="672" t="s">
        <v>461</v>
      </c>
      <c r="J316" s="672" t="s">
        <v>461</v>
      </c>
      <c r="K316" s="672" t="s">
        <v>461</v>
      </c>
      <c r="L316" s="672" t="s">
        <v>461</v>
      </c>
      <c r="M316" s="672" t="s">
        <v>461</v>
      </c>
      <c r="N316" s="672" t="s">
        <v>461</v>
      </c>
      <c r="O316" s="672" t="s">
        <v>461</v>
      </c>
    </row>
    <row r="317" spans="1:15">
      <c r="A317" s="267" t="s">
        <v>9</v>
      </c>
      <c r="B317" s="592">
        <v>22103.441981387012</v>
      </c>
      <c r="C317" s="672">
        <v>56.959998677763934</v>
      </c>
      <c r="D317" s="672">
        <v>6.8653620686067383</v>
      </c>
      <c r="E317" s="672">
        <v>21.228508382695104</v>
      </c>
      <c r="F317" s="672">
        <v>0.126720642435773</v>
      </c>
      <c r="G317" s="672">
        <v>0</v>
      </c>
      <c r="H317" s="672">
        <v>0</v>
      </c>
      <c r="I317" s="672">
        <v>13.195862133186505</v>
      </c>
      <c r="J317" s="672">
        <v>0</v>
      </c>
      <c r="K317" s="672">
        <v>0</v>
      </c>
      <c r="L317" s="672">
        <v>0</v>
      </c>
      <c r="M317" s="672">
        <v>0</v>
      </c>
      <c r="N317" s="672">
        <v>0</v>
      </c>
      <c r="O317" s="672">
        <v>1.6235480953119454</v>
      </c>
    </row>
    <row r="318" spans="1:15">
      <c r="A318" s="306" t="s">
        <v>10</v>
      </c>
      <c r="B318" s="545"/>
      <c r="C318" s="535"/>
      <c r="D318" s="535"/>
      <c r="E318" s="535"/>
      <c r="F318" s="535"/>
      <c r="G318" s="535"/>
      <c r="H318" s="535"/>
      <c r="I318" s="535"/>
      <c r="J318" s="535"/>
      <c r="K318" s="535"/>
      <c r="L318" s="535"/>
      <c r="M318" s="535"/>
      <c r="N318" s="535"/>
      <c r="O318" s="535"/>
    </row>
    <row r="319" spans="1:15">
      <c r="A319" s="266" t="s">
        <v>226</v>
      </c>
      <c r="B319" s="71"/>
      <c r="C319" s="71"/>
      <c r="D319" s="71"/>
      <c r="E319" s="71"/>
      <c r="F319" s="71"/>
      <c r="G319" s="71"/>
      <c r="H319" s="71"/>
      <c r="I319" s="71"/>
      <c r="J319" s="71"/>
      <c r="K319" s="71"/>
      <c r="L319" s="71"/>
      <c r="M319" s="71"/>
      <c r="N319" s="71"/>
      <c r="O319" s="71"/>
    </row>
    <row r="320" spans="1:15">
      <c r="A320" s="29" t="s">
        <v>227</v>
      </c>
      <c r="B320" s="29"/>
      <c r="C320" s="29"/>
      <c r="D320" s="29"/>
      <c r="E320" s="29"/>
      <c r="F320" s="29"/>
      <c r="G320" s="29"/>
      <c r="H320" s="29"/>
      <c r="I320" s="29"/>
      <c r="J320" s="29"/>
      <c r="K320" s="29"/>
      <c r="L320" s="29"/>
      <c r="M320" s="29"/>
      <c r="N320" s="29"/>
      <c r="O320" s="29"/>
    </row>
    <row r="321" spans="1:15">
      <c r="A321" s="29" t="s">
        <v>228</v>
      </c>
      <c r="B321" s="29"/>
      <c r="C321" s="29"/>
      <c r="D321" s="29"/>
      <c r="E321" s="29"/>
      <c r="F321" s="29"/>
      <c r="G321" s="29"/>
      <c r="H321" s="29"/>
      <c r="I321" s="29"/>
      <c r="J321" s="29"/>
      <c r="K321" s="29"/>
      <c r="L321" s="29"/>
      <c r="M321" s="29"/>
      <c r="N321" s="29"/>
      <c r="O321" s="29"/>
    </row>
    <row r="322" spans="1:15">
      <c r="A322" s="307" t="s">
        <v>344</v>
      </c>
    </row>
    <row r="323" spans="1:15">
      <c r="A323" s="307" t="s">
        <v>343</v>
      </c>
    </row>
    <row r="324" spans="1:15">
      <c r="A324" s="88" t="s">
        <v>399</v>
      </c>
    </row>
    <row r="325" spans="1:15">
      <c r="A325" s="88" t="s">
        <v>455</v>
      </c>
    </row>
    <row r="326" spans="1:15">
      <c r="A326" s="522" t="s">
        <v>456</v>
      </c>
    </row>
    <row r="330" spans="1:15">
      <c r="A330" s="12" t="s">
        <v>534</v>
      </c>
    </row>
    <row r="331" spans="1:15">
      <c r="A331" s="683" t="s">
        <v>0</v>
      </c>
      <c r="B331" s="683" t="s">
        <v>211</v>
      </c>
      <c r="C331" s="686" t="s">
        <v>212</v>
      </c>
      <c r="D331" s="687"/>
      <c r="E331" s="687"/>
      <c r="F331" s="687"/>
      <c r="G331" s="687"/>
      <c r="H331" s="688"/>
      <c r="I331" s="686" t="s">
        <v>213</v>
      </c>
      <c r="J331" s="687"/>
      <c r="K331" s="687"/>
      <c r="L331" s="687"/>
      <c r="M331" s="687"/>
      <c r="N331" s="688"/>
      <c r="O331" s="683" t="s">
        <v>21</v>
      </c>
    </row>
    <row r="332" spans="1:15" ht="60">
      <c r="A332" s="684"/>
      <c r="B332" s="684"/>
      <c r="C332" s="302" t="s">
        <v>214</v>
      </c>
      <c r="D332" s="302" t="s">
        <v>215</v>
      </c>
      <c r="E332" s="302" t="s">
        <v>216</v>
      </c>
      <c r="F332" s="302" t="s">
        <v>217</v>
      </c>
      <c r="G332" s="302" t="s">
        <v>218</v>
      </c>
      <c r="H332" s="302" t="s">
        <v>219</v>
      </c>
      <c r="I332" s="302" t="s">
        <v>214</v>
      </c>
      <c r="J332" s="302" t="s">
        <v>215</v>
      </c>
      <c r="K332" s="302" t="s">
        <v>216</v>
      </c>
      <c r="L332" s="302" t="s">
        <v>217</v>
      </c>
      <c r="M332" s="302" t="s">
        <v>218</v>
      </c>
      <c r="N332" s="302" t="s">
        <v>219</v>
      </c>
      <c r="O332" s="705"/>
    </row>
    <row r="333" spans="1:15">
      <c r="A333" s="685"/>
      <c r="B333" s="685"/>
      <c r="C333" s="689" t="s">
        <v>244</v>
      </c>
      <c r="D333" s="706"/>
      <c r="E333" s="706"/>
      <c r="F333" s="706"/>
      <c r="G333" s="706"/>
      <c r="H333" s="706"/>
      <c r="I333" s="706"/>
      <c r="J333" s="706"/>
      <c r="K333" s="706"/>
      <c r="L333" s="706"/>
      <c r="M333" s="706"/>
      <c r="N333" s="706"/>
      <c r="O333" s="690"/>
    </row>
    <row r="334" spans="1:15">
      <c r="A334" s="266" t="s">
        <v>221</v>
      </c>
      <c r="B334" s="592">
        <v>239310.24520474876</v>
      </c>
      <c r="C334" s="672">
        <v>0.20202327583950899</v>
      </c>
      <c r="D334" s="672">
        <v>8.8840358223825494E-2</v>
      </c>
      <c r="E334" s="672">
        <v>6.9686577804079095E-2</v>
      </c>
      <c r="F334" s="672">
        <v>9.8274619732349203E-2</v>
      </c>
      <c r="G334" s="672">
        <v>1.45207417498294E-2</v>
      </c>
      <c r="H334" s="672">
        <v>0</v>
      </c>
      <c r="I334" s="672">
        <v>1.8814673595305E-2</v>
      </c>
      <c r="J334" s="672">
        <v>6.9398174218468301E-3</v>
      </c>
      <c r="K334" s="672">
        <v>1.58729807408931E-3</v>
      </c>
      <c r="L334" s="672">
        <v>0.14848053153712601</v>
      </c>
      <c r="M334" s="672">
        <v>0.28352825522340902</v>
      </c>
      <c r="N334" s="672">
        <v>0</v>
      </c>
      <c r="O334" s="672">
        <v>6.7303850635080806E-2</v>
      </c>
    </row>
    <row r="335" spans="1:15">
      <c r="A335" s="266" t="s">
        <v>222</v>
      </c>
      <c r="B335" s="592">
        <v>140828.3550293</v>
      </c>
      <c r="C335" s="672">
        <v>0.35221055702225001</v>
      </c>
      <c r="D335" s="672">
        <v>4.8043175574414773E-2</v>
      </c>
      <c r="E335" s="672">
        <v>4.8512201470530475E-3</v>
      </c>
      <c r="F335" s="672">
        <v>8.3718182169630215E-2</v>
      </c>
      <c r="G335" s="672">
        <v>0.33131880088706744</v>
      </c>
      <c r="H335" s="672">
        <v>0</v>
      </c>
      <c r="I335" s="672">
        <v>5.1568478753719763E-3</v>
      </c>
      <c r="J335" s="672">
        <v>1.9653151820385156E-2</v>
      </c>
      <c r="K335" s="672">
        <v>1.4292718314697374E-5</v>
      </c>
      <c r="L335" s="672">
        <v>6.2743769485990193E-4</v>
      </c>
      <c r="M335" s="672">
        <v>0.1281747445411448</v>
      </c>
      <c r="N335" s="672">
        <v>0</v>
      </c>
      <c r="O335" s="672">
        <v>2.6231589549507855E-2</v>
      </c>
    </row>
    <row r="336" spans="1:15">
      <c r="A336" s="266" t="s">
        <v>223</v>
      </c>
      <c r="B336" s="592"/>
      <c r="C336" s="672">
        <v>0.53455430313826069</v>
      </c>
      <c r="D336" s="672">
        <v>4.2814949787325772E-2</v>
      </c>
      <c r="E336" s="672">
        <v>5.0561602738775184E-3</v>
      </c>
      <c r="F336" s="672">
        <v>4.9553956966168692E-6</v>
      </c>
      <c r="G336" s="672">
        <v>9.4055467867985403E-3</v>
      </c>
      <c r="H336" s="672">
        <v>0</v>
      </c>
      <c r="I336" s="672">
        <v>0</v>
      </c>
      <c r="J336" s="672">
        <v>0</v>
      </c>
      <c r="K336" s="672">
        <v>0</v>
      </c>
      <c r="L336" s="672">
        <v>0</v>
      </c>
      <c r="M336" s="672">
        <v>0.40719453237312059</v>
      </c>
      <c r="N336" s="672">
        <v>0</v>
      </c>
      <c r="O336" s="672">
        <v>9.6955224492037602E-4</v>
      </c>
    </row>
    <row r="337" spans="1:15" ht="17.25">
      <c r="A337" s="266" t="s">
        <v>498</v>
      </c>
      <c r="B337" s="592"/>
      <c r="C337" s="672"/>
      <c r="D337" s="672"/>
      <c r="E337" s="672"/>
      <c r="F337" s="672"/>
      <c r="G337" s="672"/>
      <c r="H337" s="672"/>
      <c r="I337" s="672"/>
      <c r="J337" s="672"/>
      <c r="K337" s="672"/>
      <c r="L337" s="672"/>
      <c r="M337" s="672"/>
      <c r="N337" s="672"/>
      <c r="O337" s="672"/>
    </row>
    <row r="338" spans="1:15">
      <c r="A338" s="266" t="s">
        <v>224</v>
      </c>
      <c r="B338" s="592">
        <v>4606.9230930744725</v>
      </c>
      <c r="C338" s="672">
        <v>0.47089395484978169</v>
      </c>
      <c r="D338" s="672">
        <v>3.9809732248482922E-2</v>
      </c>
      <c r="E338" s="672">
        <v>6.4175202745659327E-2</v>
      </c>
      <c r="F338" s="672">
        <v>6.1034831473408359E-2</v>
      </c>
      <c r="G338" s="672">
        <v>6.8904111875145627E-2</v>
      </c>
      <c r="H338" s="672">
        <v>0</v>
      </c>
      <c r="I338" s="672">
        <v>6.2432605358733493E-5</v>
      </c>
      <c r="J338" s="672">
        <v>2.4092256336614055E-3</v>
      </c>
      <c r="K338" s="672">
        <v>3.2976311204492071E-3</v>
      </c>
      <c r="L338" s="672">
        <v>0.25137456663729013</v>
      </c>
      <c r="M338" s="672">
        <v>0</v>
      </c>
      <c r="N338" s="672">
        <v>0</v>
      </c>
      <c r="O338" s="672">
        <v>3.8038310810762463E-2</v>
      </c>
    </row>
    <row r="339" spans="1:15">
      <c r="A339" s="266" t="s">
        <v>369</v>
      </c>
      <c r="B339" s="545">
        <v>919.57</v>
      </c>
      <c r="C339" s="597">
        <v>7.3099999999999997E-3</v>
      </c>
      <c r="D339" s="597">
        <v>4.9272</v>
      </c>
      <c r="E339" s="597">
        <v>0.94310000000000005</v>
      </c>
      <c r="F339" s="597" t="s">
        <v>540</v>
      </c>
      <c r="G339" s="597">
        <v>0.31409999999999999</v>
      </c>
      <c r="H339" s="597">
        <v>0</v>
      </c>
      <c r="I339" s="597">
        <v>0.28349999999999997</v>
      </c>
      <c r="J339" s="597">
        <v>0.3231</v>
      </c>
      <c r="K339" s="597">
        <v>0.41860000000000003</v>
      </c>
      <c r="L339" s="597">
        <v>3.1699999999999999E-2</v>
      </c>
      <c r="M339" s="597">
        <v>0.46700000000000003</v>
      </c>
      <c r="N339" s="597">
        <v>0</v>
      </c>
      <c r="O339" s="597">
        <v>0.15409999999999999</v>
      </c>
    </row>
    <row r="340" spans="1:15">
      <c r="A340" s="266" t="s">
        <v>363</v>
      </c>
      <c r="B340" s="545"/>
      <c r="C340" s="597">
        <v>442.7</v>
      </c>
      <c r="D340" s="597">
        <v>380.5</v>
      </c>
      <c r="E340" s="597" t="s">
        <v>497</v>
      </c>
      <c r="F340" s="597">
        <v>190.8</v>
      </c>
      <c r="G340" s="597" t="s">
        <v>497</v>
      </c>
      <c r="H340" s="597" t="s">
        <v>497</v>
      </c>
      <c r="I340" s="597" t="s">
        <v>497</v>
      </c>
      <c r="J340" s="597" t="s">
        <v>497</v>
      </c>
      <c r="K340" s="597" t="s">
        <v>497</v>
      </c>
      <c r="L340" s="597" t="s">
        <v>497</v>
      </c>
      <c r="M340" s="597" t="s">
        <v>497</v>
      </c>
      <c r="N340" s="597" t="s">
        <v>497</v>
      </c>
      <c r="O340" s="597" t="s">
        <v>497</v>
      </c>
    </row>
    <row r="341" spans="1:15">
      <c r="A341" s="266" t="s">
        <v>8</v>
      </c>
      <c r="B341" s="592"/>
      <c r="C341" s="672">
        <v>0.22280990429047601</v>
      </c>
      <c r="D341" s="672">
        <v>8.9585155063648197E-2</v>
      </c>
      <c r="E341" s="672">
        <v>4.9683497342878198E-2</v>
      </c>
      <c r="F341" s="672">
        <v>0.170857176401285</v>
      </c>
      <c r="G341" s="672">
        <v>2.93767045496235E-2</v>
      </c>
      <c r="H341" s="672">
        <v>1.8402296270669902E-2</v>
      </c>
      <c r="I341" s="672">
        <v>3.1293003385693498E-2</v>
      </c>
      <c r="J341" s="672">
        <v>1.9181157617574999E-2</v>
      </c>
      <c r="K341" s="672">
        <v>1.8013246591420298E-2</v>
      </c>
      <c r="L341" s="672">
        <v>1.63758226706599E-3</v>
      </c>
      <c r="M341" s="672">
        <v>0.40948976959889</v>
      </c>
      <c r="N341" s="672">
        <v>0</v>
      </c>
      <c r="O341" s="672">
        <v>-6.0329493379225899E-2</v>
      </c>
    </row>
    <row r="342" spans="1:15">
      <c r="A342" s="266" t="s">
        <v>225</v>
      </c>
      <c r="B342" s="592">
        <v>20054.32</v>
      </c>
      <c r="C342" s="672">
        <v>0.69703422524889003</v>
      </c>
      <c r="D342" s="672">
        <v>9.0166931483189994E-2</v>
      </c>
      <c r="E342" s="672">
        <v>2.6948769264039999E-2</v>
      </c>
      <c r="F342" s="672">
        <v>2.9319314475699998E-3</v>
      </c>
      <c r="G342" s="672">
        <v>0.18278428390617002</v>
      </c>
      <c r="H342" s="672">
        <v>0</v>
      </c>
      <c r="I342" s="672" t="s">
        <v>461</v>
      </c>
      <c r="J342" s="672" t="s">
        <v>461</v>
      </c>
      <c r="K342" s="672" t="s">
        <v>461</v>
      </c>
      <c r="L342" s="672" t="s">
        <v>461</v>
      </c>
      <c r="M342" s="672" t="s">
        <v>461</v>
      </c>
      <c r="N342" s="672" t="s">
        <v>461</v>
      </c>
      <c r="O342" s="672" t="s">
        <v>461</v>
      </c>
    </row>
    <row r="343" spans="1:15">
      <c r="A343" s="267" t="s">
        <v>9</v>
      </c>
      <c r="B343" s="592">
        <v>26879.568147374815</v>
      </c>
      <c r="C343" s="672">
        <v>0.56203555748560297</v>
      </c>
      <c r="D343" s="672">
        <v>7.9811340783755097E-2</v>
      </c>
      <c r="E343" s="672">
        <v>0.19482250652238001</v>
      </c>
      <c r="F343" s="672">
        <v>1.15826745050824E-3</v>
      </c>
      <c r="G343" s="672">
        <v>0</v>
      </c>
      <c r="H343" s="672">
        <v>0</v>
      </c>
      <c r="I343" s="672">
        <v>0.14551304278301799</v>
      </c>
      <c r="J343" s="672">
        <v>0</v>
      </c>
      <c r="K343" s="672">
        <v>0</v>
      </c>
      <c r="L343" s="672">
        <v>0</v>
      </c>
      <c r="M343" s="672">
        <v>0</v>
      </c>
      <c r="N343" s="672">
        <v>0</v>
      </c>
      <c r="O343" s="672">
        <v>1.6659284974735299E-2</v>
      </c>
    </row>
    <row r="344" spans="1:15">
      <c r="A344" s="306" t="s">
        <v>10</v>
      </c>
      <c r="B344" s="545"/>
      <c r="C344" s="535"/>
      <c r="D344" s="535"/>
      <c r="E344" s="535"/>
      <c r="F344" s="535"/>
      <c r="G344" s="535"/>
      <c r="H344" s="535"/>
      <c r="I344" s="535"/>
      <c r="J344" s="535"/>
      <c r="K344" s="535"/>
      <c r="L344" s="535"/>
      <c r="M344" s="535"/>
      <c r="N344" s="535"/>
      <c r="O344" s="535"/>
    </row>
    <row r="345" spans="1:15">
      <c r="A345" s="266" t="s">
        <v>226</v>
      </c>
      <c r="B345" s="71"/>
      <c r="C345" s="71"/>
      <c r="D345" s="71"/>
      <c r="E345" s="71"/>
      <c r="F345" s="71"/>
      <c r="G345" s="71"/>
      <c r="H345" s="71"/>
      <c r="I345" s="71"/>
      <c r="J345" s="71"/>
      <c r="K345" s="71"/>
      <c r="L345" s="71"/>
      <c r="M345" s="71"/>
      <c r="N345" s="71"/>
      <c r="O345" s="71"/>
    </row>
    <row r="346" spans="1:15">
      <c r="A346" s="29" t="s">
        <v>227</v>
      </c>
      <c r="B346" s="29"/>
      <c r="C346" s="29"/>
      <c r="D346" s="29"/>
      <c r="E346" s="29"/>
      <c r="F346" s="29"/>
      <c r="G346" s="29"/>
      <c r="H346" s="29"/>
      <c r="I346" s="29"/>
      <c r="J346" s="29"/>
      <c r="K346" s="29"/>
      <c r="L346" s="29"/>
      <c r="M346" s="29"/>
      <c r="N346" s="29"/>
      <c r="O346" s="29"/>
    </row>
    <row r="347" spans="1:15">
      <c r="A347" s="29" t="s">
        <v>228</v>
      </c>
      <c r="B347" s="29"/>
      <c r="C347" s="29"/>
      <c r="D347" s="29"/>
      <c r="E347" s="29"/>
      <c r="F347" s="29"/>
      <c r="G347" s="29"/>
      <c r="H347" s="29"/>
      <c r="I347" s="29"/>
      <c r="J347" s="29"/>
      <c r="K347" s="29"/>
      <c r="L347" s="29"/>
      <c r="M347" s="29"/>
      <c r="N347" s="29"/>
      <c r="O347" s="29"/>
    </row>
    <row r="348" spans="1:15">
      <c r="A348" s="307" t="s">
        <v>344</v>
      </c>
    </row>
    <row r="349" spans="1:15">
      <c r="A349" s="307" t="s">
        <v>343</v>
      </c>
    </row>
    <row r="350" spans="1:15">
      <c r="A350" s="88" t="s">
        <v>399</v>
      </c>
    </row>
    <row r="351" spans="1:15">
      <c r="A351" s="88" t="s">
        <v>455</v>
      </c>
    </row>
    <row r="352" spans="1:15">
      <c r="A352" s="522" t="s">
        <v>456</v>
      </c>
    </row>
  </sheetData>
  <mergeCells count="90">
    <mergeCell ref="A253:A255"/>
    <mergeCell ref="B253:B255"/>
    <mergeCell ref="C253:H253"/>
    <mergeCell ref="I253:N253"/>
    <mergeCell ref="O253:O254"/>
    <mergeCell ref="C255:O255"/>
    <mergeCell ref="A227:A229"/>
    <mergeCell ref="B227:B229"/>
    <mergeCell ref="C227:H227"/>
    <mergeCell ref="I227:N227"/>
    <mergeCell ref="O227:O228"/>
    <mergeCell ref="C229:O229"/>
    <mergeCell ref="A203:A205"/>
    <mergeCell ref="B203:B205"/>
    <mergeCell ref="C203:H203"/>
    <mergeCell ref="I203:N203"/>
    <mergeCell ref="O203:O204"/>
    <mergeCell ref="C205:O205"/>
    <mergeCell ref="A134:A136"/>
    <mergeCell ref="B134:B136"/>
    <mergeCell ref="C134:H134"/>
    <mergeCell ref="I134:N134"/>
    <mergeCell ref="O134:O135"/>
    <mergeCell ref="C136:O136"/>
    <mergeCell ref="A111:A113"/>
    <mergeCell ref="B111:B113"/>
    <mergeCell ref="C111:H111"/>
    <mergeCell ref="I111:N111"/>
    <mergeCell ref="O111:O112"/>
    <mergeCell ref="C113:O113"/>
    <mergeCell ref="A66:A68"/>
    <mergeCell ref="B66:B68"/>
    <mergeCell ref="C66:H66"/>
    <mergeCell ref="I66:N66"/>
    <mergeCell ref="O66:O67"/>
    <mergeCell ref="C68:O68"/>
    <mergeCell ref="A45:A47"/>
    <mergeCell ref="B45:B47"/>
    <mergeCell ref="C45:H45"/>
    <mergeCell ref="I45:N45"/>
    <mergeCell ref="O45:O46"/>
    <mergeCell ref="C47:O47"/>
    <mergeCell ref="A24:A26"/>
    <mergeCell ref="B24:B26"/>
    <mergeCell ref="C24:H24"/>
    <mergeCell ref="I24:N24"/>
    <mergeCell ref="O24:O25"/>
    <mergeCell ref="C26:O26"/>
    <mergeCell ref="A3:A5"/>
    <mergeCell ref="B3:B5"/>
    <mergeCell ref="C3:H3"/>
    <mergeCell ref="I3:N3"/>
    <mergeCell ref="O3:O4"/>
    <mergeCell ref="C5:O5"/>
    <mergeCell ref="A88:A90"/>
    <mergeCell ref="B88:B90"/>
    <mergeCell ref="C88:H88"/>
    <mergeCell ref="I88:N88"/>
    <mergeCell ref="O88:O89"/>
    <mergeCell ref="C90:O90"/>
    <mergeCell ref="A157:A159"/>
    <mergeCell ref="B157:B159"/>
    <mergeCell ref="C157:H157"/>
    <mergeCell ref="I157:N157"/>
    <mergeCell ref="O157:O158"/>
    <mergeCell ref="C159:O159"/>
    <mergeCell ref="A179:A181"/>
    <mergeCell ref="B179:B181"/>
    <mergeCell ref="C179:H179"/>
    <mergeCell ref="I179:N179"/>
    <mergeCell ref="O179:O180"/>
    <mergeCell ref="C181:O181"/>
    <mergeCell ref="A279:A281"/>
    <mergeCell ref="B279:B281"/>
    <mergeCell ref="C279:H279"/>
    <mergeCell ref="I279:N279"/>
    <mergeCell ref="O279:O280"/>
    <mergeCell ref="C281:O281"/>
    <mergeCell ref="A305:A307"/>
    <mergeCell ref="B305:B307"/>
    <mergeCell ref="C305:H305"/>
    <mergeCell ref="I305:N305"/>
    <mergeCell ref="O305:O306"/>
    <mergeCell ref="C307:O307"/>
    <mergeCell ref="A331:A333"/>
    <mergeCell ref="B331:B333"/>
    <mergeCell ref="C331:H331"/>
    <mergeCell ref="I331:N331"/>
    <mergeCell ref="O331:O332"/>
    <mergeCell ref="C333:O333"/>
  </mergeCells>
  <phoneticPr fontId="9" type="noConversion"/>
  <pageMargins left="0.23622047244094491" right="0.23622047244094491" top="0.74803149606299213" bottom="0.74803149606299213" header="0.31496062992125984" footer="0.31496062992125984"/>
  <pageSetup paperSize="9" scale="77" fitToHeight="0" orientation="landscape" r:id="rId1"/>
  <headerFooter alignWithMargins="0">
    <oddHeader>&amp;A</oddHeader>
    <oddFooter>&amp;L&amp;F&amp;R&amp;D</oddFooter>
  </headerFooter>
  <rowBreaks count="3" manualBreakCount="3">
    <brk id="22" max="16383" man="1"/>
    <brk id="43" max="16383" man="1"/>
    <brk id="64" max="16383" man="1"/>
  </rowBreaks>
  <ignoredErrors>
    <ignoredError sqref="O167" formulaRange="1"/>
    <ignoredError sqref="I185 K185:N185 I209:N209" numberStoredAsText="1"/>
  </ignoredErrors>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X38"/>
  <sheetViews>
    <sheetView showGridLines="0" zoomScale="90" zoomScaleNormal="90" workbookViewId="0"/>
  </sheetViews>
  <sheetFormatPr baseColWidth="10" defaultRowHeight="15"/>
  <cols>
    <col min="1" max="1" width="12.625" style="13" customWidth="1"/>
    <col min="2" max="5" width="10.625" style="143" customWidth="1"/>
    <col min="6" max="6" width="10.625" style="13" customWidth="1"/>
    <col min="7" max="7" width="10.625" style="143" customWidth="1"/>
    <col min="8" max="15" width="10.625" style="13" customWidth="1"/>
    <col min="16" max="16384" width="11" style="13"/>
  </cols>
  <sheetData>
    <row r="1" spans="1:24" ht="15.75" customHeight="1">
      <c r="A1" s="10" t="s">
        <v>315</v>
      </c>
      <c r="B1" s="75"/>
      <c r="C1" s="75"/>
      <c r="D1" s="75"/>
      <c r="E1" s="75"/>
      <c r="F1" s="75"/>
      <c r="G1" s="75"/>
    </row>
    <row r="2" spans="1:24" ht="15.75" customHeight="1">
      <c r="A2" s="12" t="s">
        <v>37</v>
      </c>
      <c r="B2" s="75"/>
      <c r="C2" s="75"/>
      <c r="D2" s="75"/>
      <c r="E2" s="75"/>
      <c r="F2" s="75"/>
      <c r="G2" s="75"/>
    </row>
    <row r="3" spans="1:24" ht="15.75" customHeight="1">
      <c r="A3" s="10" t="s">
        <v>87</v>
      </c>
      <c r="B3" s="75"/>
      <c r="C3" s="75"/>
      <c r="D3" s="75"/>
      <c r="E3" s="75"/>
      <c r="F3" s="75"/>
      <c r="G3" s="75"/>
    </row>
    <row r="4" spans="1:24" s="134" customFormat="1" ht="9" customHeight="1">
      <c r="A4" s="13"/>
      <c r="B4" s="25"/>
      <c r="C4" s="25"/>
      <c r="D4" s="25"/>
      <c r="E4" s="25"/>
      <c r="F4" s="13"/>
      <c r="G4" s="25"/>
    </row>
    <row r="5" spans="1:24" s="11" customFormat="1" ht="39" customHeight="1">
      <c r="A5" s="348" t="s">
        <v>0</v>
      </c>
      <c r="B5" s="77" t="s">
        <v>121</v>
      </c>
      <c r="C5" s="77" t="s">
        <v>119</v>
      </c>
      <c r="D5" s="77" t="s">
        <v>124</v>
      </c>
      <c r="E5" s="77" t="s">
        <v>141</v>
      </c>
      <c r="F5" s="77" t="s">
        <v>160</v>
      </c>
      <c r="G5" s="77" t="s">
        <v>177</v>
      </c>
      <c r="H5" s="317" t="s">
        <v>186</v>
      </c>
      <c r="I5" s="317" t="s">
        <v>188</v>
      </c>
      <c r="J5" s="317" t="s">
        <v>199</v>
      </c>
      <c r="K5" s="317" t="s">
        <v>200</v>
      </c>
      <c r="L5" s="317" t="s">
        <v>201</v>
      </c>
      <c r="M5" s="317" t="s">
        <v>202</v>
      </c>
      <c r="N5" s="317" t="s">
        <v>354</v>
      </c>
      <c r="O5" s="317" t="s">
        <v>371</v>
      </c>
      <c r="P5" s="317" t="s">
        <v>383</v>
      </c>
      <c r="Q5" s="317" t="s">
        <v>401</v>
      </c>
      <c r="R5" s="317" t="s">
        <v>440</v>
      </c>
      <c r="S5" s="317" t="s">
        <v>465</v>
      </c>
      <c r="T5" s="317" t="s">
        <v>477</v>
      </c>
      <c r="U5" s="317" t="s">
        <v>488</v>
      </c>
      <c r="V5" s="317" t="s">
        <v>499</v>
      </c>
      <c r="W5" s="317" t="s">
        <v>518</v>
      </c>
      <c r="X5" s="317" t="s">
        <v>530</v>
      </c>
    </row>
    <row r="6" spans="1:24" s="76" customFormat="1" ht="5.0999999999999996" customHeight="1">
      <c r="B6" s="18"/>
      <c r="C6" s="18"/>
      <c r="D6" s="18"/>
      <c r="E6" s="18"/>
      <c r="F6" s="18"/>
      <c r="G6" s="18"/>
    </row>
    <row r="7" spans="1:24" ht="15.75" hidden="1" customHeight="1">
      <c r="A7" s="9" t="s">
        <v>2</v>
      </c>
      <c r="B7" s="146">
        <v>67.105311772763457</v>
      </c>
      <c r="C7" s="146">
        <v>60.569978968231041</v>
      </c>
      <c r="D7" s="146">
        <v>20.80821310931508</v>
      </c>
      <c r="E7" s="146">
        <v>12.989531213763602</v>
      </c>
      <c r="F7" s="146">
        <v>15.45205074469763</v>
      </c>
      <c r="G7" s="154"/>
      <c r="H7" s="80"/>
      <c r="I7" s="80"/>
      <c r="J7" s="80"/>
      <c r="K7" s="80"/>
      <c r="L7" s="80"/>
      <c r="M7" s="80"/>
      <c r="N7" s="80"/>
    </row>
    <row r="8" spans="1:24" ht="15.75" hidden="1" customHeight="1">
      <c r="A8" s="9" t="s">
        <v>3</v>
      </c>
      <c r="B8" s="146">
        <v>88.035556926288677</v>
      </c>
      <c r="C8" s="146">
        <v>80.898386741071121</v>
      </c>
      <c r="D8" s="146">
        <v>66.776765727401383</v>
      </c>
      <c r="E8" s="146">
        <v>54.580886513604391</v>
      </c>
      <c r="F8" s="146">
        <v>2.2419783721746849</v>
      </c>
      <c r="G8" s="146">
        <v>2.9539242756665933</v>
      </c>
      <c r="H8" s="146">
        <v>0</v>
      </c>
      <c r="I8" s="80"/>
      <c r="J8" s="80"/>
      <c r="K8" s="80"/>
      <c r="L8" s="80"/>
      <c r="M8" s="80"/>
      <c r="N8" s="80"/>
    </row>
    <row r="9" spans="1:24" ht="15.75" customHeight="1">
      <c r="A9" s="9" t="s">
        <v>4</v>
      </c>
      <c r="B9" s="146">
        <v>26.803943706766809</v>
      </c>
      <c r="C9" s="146">
        <v>28.561246633067444</v>
      </c>
      <c r="D9" s="146">
        <v>30.624335952323161</v>
      </c>
      <c r="E9" s="146">
        <v>32.373225810040658</v>
      </c>
      <c r="F9" s="146">
        <v>35.593671487237685</v>
      </c>
      <c r="G9" s="146">
        <v>28.5005615805694</v>
      </c>
      <c r="H9" s="146">
        <v>18.404916938499195</v>
      </c>
      <c r="I9" s="82">
        <v>45.2698896106644</v>
      </c>
      <c r="J9" s="82">
        <v>36.4</v>
      </c>
      <c r="K9" s="82">
        <v>38.299999999999997</v>
      </c>
      <c r="L9" s="82">
        <v>42.4</v>
      </c>
      <c r="M9" s="82">
        <v>44</v>
      </c>
      <c r="N9" s="82">
        <v>44.1</v>
      </c>
      <c r="O9" s="82">
        <v>38.993789082516244</v>
      </c>
      <c r="P9" s="82">
        <v>42.893583295945056</v>
      </c>
      <c r="Q9" s="82">
        <v>41.284909709437322</v>
      </c>
      <c r="R9" s="82">
        <v>43.613288251763741</v>
      </c>
      <c r="S9" s="82">
        <v>45.891708447458747</v>
      </c>
      <c r="T9" s="82">
        <v>54.727127539006787</v>
      </c>
      <c r="U9" s="82">
        <v>42.291374980040409</v>
      </c>
      <c r="V9" s="673">
        <v>49.710519229722991</v>
      </c>
      <c r="W9" s="673">
        <v>47.897966947420954</v>
      </c>
      <c r="X9" s="673">
        <v>51.366403499263591</v>
      </c>
    </row>
    <row r="10" spans="1:24" ht="15.75" customHeight="1">
      <c r="A10" s="9" t="s">
        <v>5</v>
      </c>
      <c r="B10" s="146">
        <v>25.473787333031655</v>
      </c>
      <c r="C10" s="146">
        <v>18.141207059384438</v>
      </c>
      <c r="D10" s="146">
        <v>14.392559338307873</v>
      </c>
      <c r="E10" s="146">
        <v>14.445987119640542</v>
      </c>
      <c r="F10" s="146">
        <v>11.03508431954082</v>
      </c>
      <c r="G10" s="146">
        <v>9.382992771351832</v>
      </c>
      <c r="H10" s="146">
        <v>6.5300181553100911</v>
      </c>
      <c r="I10" s="82">
        <v>14.484909216443572</v>
      </c>
      <c r="J10" s="82">
        <v>15.005163816797101</v>
      </c>
      <c r="K10" s="82">
        <v>15.2079816382607</v>
      </c>
      <c r="L10" s="82">
        <v>17.589679041333898</v>
      </c>
      <c r="M10" s="82">
        <v>25.503686351892199</v>
      </c>
      <c r="N10" s="82">
        <v>32.696808491111</v>
      </c>
      <c r="O10" s="82">
        <v>29.147128052287499</v>
      </c>
      <c r="P10" s="82">
        <v>35.686833517357101</v>
      </c>
      <c r="Q10" s="148" t="s">
        <v>149</v>
      </c>
      <c r="R10" s="148" t="s">
        <v>149</v>
      </c>
      <c r="S10" s="148" t="s">
        <v>149</v>
      </c>
      <c r="T10" s="82">
        <v>16.919374979330446</v>
      </c>
      <c r="U10" s="82">
        <v>22.601696505656772</v>
      </c>
      <c r="V10" s="673">
        <v>19.225383076364253</v>
      </c>
      <c r="W10" s="673">
        <v>20.7</v>
      </c>
      <c r="X10" s="673">
        <v>15.362647465007653</v>
      </c>
    </row>
    <row r="11" spans="1:24" ht="15.75" customHeight="1">
      <c r="A11" s="9" t="s">
        <v>50</v>
      </c>
      <c r="B11" s="146">
        <v>1.6222551754462053</v>
      </c>
      <c r="C11" s="146">
        <v>6.1403173851214241</v>
      </c>
      <c r="D11" s="146">
        <v>12.969427882864744</v>
      </c>
      <c r="E11" s="146">
        <v>20.452665161039867</v>
      </c>
      <c r="F11" s="146">
        <v>19.196944500912387</v>
      </c>
      <c r="G11" s="146">
        <v>18.029339754169413</v>
      </c>
      <c r="H11" s="146">
        <v>0.17035600652050195</v>
      </c>
      <c r="I11" s="82">
        <v>17.927331516147969</v>
      </c>
      <c r="J11" s="82">
        <v>13.652019915449699</v>
      </c>
      <c r="K11" s="155">
        <v>11.723042647562485</v>
      </c>
      <c r="L11" s="155">
        <v>9.4343131690369919</v>
      </c>
      <c r="M11" s="155">
        <v>10.197228411153185</v>
      </c>
      <c r="N11" s="156">
        <v>11.05</v>
      </c>
      <c r="O11" s="82">
        <v>15.75</v>
      </c>
      <c r="P11" s="82">
        <v>22.861999999999998</v>
      </c>
      <c r="Q11" s="82">
        <v>27.64</v>
      </c>
      <c r="R11" s="82">
        <v>30.48</v>
      </c>
      <c r="S11" s="82">
        <v>36.6</v>
      </c>
      <c r="T11" s="82">
        <v>41.2</v>
      </c>
      <c r="U11" s="82">
        <v>38.1</v>
      </c>
      <c r="V11" s="82">
        <v>39.718615958821403</v>
      </c>
      <c r="W11" s="82">
        <v>41.70852</v>
      </c>
      <c r="X11" s="82">
        <v>45.481674819843363</v>
      </c>
    </row>
    <row r="12" spans="1:24" ht="15.75" customHeight="1">
      <c r="A12" s="9" t="s">
        <v>6</v>
      </c>
      <c r="B12" s="146">
        <v>0</v>
      </c>
      <c r="C12" s="146">
        <v>0</v>
      </c>
      <c r="D12" s="146">
        <v>0</v>
      </c>
      <c r="E12" s="146">
        <v>0</v>
      </c>
      <c r="F12" s="146">
        <v>0</v>
      </c>
      <c r="G12" s="146">
        <v>0</v>
      </c>
      <c r="H12" s="146">
        <v>0</v>
      </c>
      <c r="I12" s="146">
        <v>0</v>
      </c>
      <c r="J12" s="146">
        <v>0</v>
      </c>
      <c r="K12" s="146">
        <v>0</v>
      </c>
      <c r="L12" s="146">
        <v>0</v>
      </c>
      <c r="M12" s="146">
        <v>0</v>
      </c>
      <c r="N12" s="82">
        <v>0</v>
      </c>
      <c r="O12" s="82">
        <v>0</v>
      </c>
      <c r="P12" s="82">
        <v>0</v>
      </c>
      <c r="Q12" s="82">
        <v>0</v>
      </c>
      <c r="R12" s="82">
        <v>0</v>
      </c>
      <c r="S12" s="82">
        <v>0</v>
      </c>
      <c r="T12" s="82">
        <v>8.6011651459999996</v>
      </c>
      <c r="U12" s="148" t="s">
        <v>149</v>
      </c>
      <c r="V12" s="148" t="s">
        <v>149</v>
      </c>
      <c r="W12" s="148" t="s">
        <v>149</v>
      </c>
      <c r="X12" s="148" t="s">
        <v>149</v>
      </c>
    </row>
    <row r="13" spans="1:24" ht="15.75" customHeight="1">
      <c r="A13" s="9" t="s">
        <v>7</v>
      </c>
      <c r="B13" s="146">
        <v>0.10051141893161945</v>
      </c>
      <c r="C13" s="146">
        <v>6.2761247410362984</v>
      </c>
      <c r="D13" s="146">
        <v>1.1464060088285215</v>
      </c>
      <c r="E13" s="146">
        <v>6.8351381482320841</v>
      </c>
      <c r="F13" s="146">
        <v>5.5748280630460849</v>
      </c>
      <c r="G13" s="146">
        <v>7.431128527831862</v>
      </c>
      <c r="H13" s="146">
        <v>4.225900021885956E-2</v>
      </c>
      <c r="I13" s="146">
        <v>13.340675053865816</v>
      </c>
      <c r="J13" s="148">
        <v>9.84</v>
      </c>
      <c r="K13" s="148">
        <v>12.86</v>
      </c>
      <c r="L13" s="148">
        <v>16.57</v>
      </c>
      <c r="M13" s="148">
        <v>17.38</v>
      </c>
      <c r="N13" s="148">
        <v>17.420000000000002</v>
      </c>
      <c r="O13" s="148">
        <v>18.02</v>
      </c>
      <c r="P13" s="148">
        <v>19.14</v>
      </c>
      <c r="Q13" s="148">
        <v>15.65</v>
      </c>
      <c r="R13" s="148">
        <v>14.59</v>
      </c>
      <c r="S13" s="148">
        <v>18.95</v>
      </c>
      <c r="T13" s="148">
        <v>19.869999999999997</v>
      </c>
      <c r="U13" s="148">
        <v>19.66</v>
      </c>
      <c r="V13" s="148">
        <v>19.329999999999998</v>
      </c>
      <c r="W13" s="148">
        <v>23.48</v>
      </c>
      <c r="X13" s="148">
        <v>23.02</v>
      </c>
    </row>
    <row r="14" spans="1:24" ht="15.75" customHeight="1">
      <c r="A14" s="9" t="s">
        <v>369</v>
      </c>
      <c r="B14" s="148" t="s">
        <v>149</v>
      </c>
      <c r="C14" s="148" t="s">
        <v>149</v>
      </c>
      <c r="D14" s="148" t="s">
        <v>149</v>
      </c>
      <c r="E14" s="148" t="s">
        <v>149</v>
      </c>
      <c r="F14" s="148" t="s">
        <v>149</v>
      </c>
      <c r="G14" s="148" t="s">
        <v>149</v>
      </c>
      <c r="H14" s="148" t="s">
        <v>149</v>
      </c>
      <c r="I14" s="148" t="s">
        <v>149</v>
      </c>
      <c r="J14" s="148" t="s">
        <v>149</v>
      </c>
      <c r="K14" s="148" t="s">
        <v>149</v>
      </c>
      <c r="L14" s="148" t="s">
        <v>149</v>
      </c>
      <c r="M14" s="148">
        <v>0</v>
      </c>
      <c r="N14" s="148">
        <v>0</v>
      </c>
      <c r="O14" s="148">
        <v>0</v>
      </c>
      <c r="P14" s="148">
        <v>0</v>
      </c>
      <c r="Q14" s="148">
        <v>0</v>
      </c>
      <c r="R14" s="148">
        <v>0</v>
      </c>
      <c r="S14" s="148">
        <v>0</v>
      </c>
      <c r="T14" s="148" t="s">
        <v>149</v>
      </c>
      <c r="U14" s="148" t="s">
        <v>149</v>
      </c>
      <c r="V14" s="148" t="s">
        <v>149</v>
      </c>
      <c r="W14" s="148" t="s">
        <v>149</v>
      </c>
      <c r="X14" s="148" t="s">
        <v>149</v>
      </c>
    </row>
    <row r="15" spans="1:24" ht="15.75" customHeight="1">
      <c r="A15" s="9" t="s">
        <v>363</v>
      </c>
      <c r="B15" s="148" t="s">
        <v>149</v>
      </c>
      <c r="C15" s="148" t="s">
        <v>149</v>
      </c>
      <c r="D15" s="148" t="s">
        <v>149</v>
      </c>
      <c r="E15" s="148" t="s">
        <v>149</v>
      </c>
      <c r="F15" s="148" t="s">
        <v>149</v>
      </c>
      <c r="G15" s="148" t="s">
        <v>149</v>
      </c>
      <c r="H15" s="148" t="s">
        <v>149</v>
      </c>
      <c r="I15" s="148" t="s">
        <v>149</v>
      </c>
      <c r="J15" s="148" t="s">
        <v>149</v>
      </c>
      <c r="K15" s="148" t="s">
        <v>149</v>
      </c>
      <c r="L15" s="148" t="s">
        <v>149</v>
      </c>
      <c r="M15" s="148" t="s">
        <v>149</v>
      </c>
      <c r="N15" s="148">
        <v>0</v>
      </c>
      <c r="O15" s="148">
        <v>0</v>
      </c>
      <c r="P15" s="148">
        <v>0.48</v>
      </c>
      <c r="Q15" s="148" t="s">
        <v>149</v>
      </c>
      <c r="R15" s="148">
        <v>0</v>
      </c>
      <c r="S15" s="148" t="s">
        <v>149</v>
      </c>
      <c r="T15" s="148" t="s">
        <v>149</v>
      </c>
      <c r="U15" s="148" t="s">
        <v>149</v>
      </c>
      <c r="V15" s="148" t="s">
        <v>149</v>
      </c>
      <c r="W15" s="148" t="s">
        <v>149</v>
      </c>
      <c r="X15" s="148" t="s">
        <v>149</v>
      </c>
    </row>
    <row r="16" spans="1:24" ht="15.75" customHeight="1">
      <c r="A16" s="9" t="s">
        <v>8</v>
      </c>
      <c r="B16" s="146">
        <v>49.133552915793324</v>
      </c>
      <c r="C16" s="146">
        <v>44.389338185739859</v>
      </c>
      <c r="D16" s="146">
        <v>46.723759766859793</v>
      </c>
      <c r="E16" s="146">
        <v>43.3172032337242</v>
      </c>
      <c r="F16" s="146">
        <v>39.426017014161147</v>
      </c>
      <c r="G16" s="146">
        <v>38.529248904905614</v>
      </c>
      <c r="H16" s="148">
        <v>43.918705189890346</v>
      </c>
      <c r="I16" s="148">
        <v>44.678256335607699</v>
      </c>
      <c r="J16" s="148">
        <v>48.444305596923101</v>
      </c>
      <c r="K16" s="148">
        <v>51.518540146748109</v>
      </c>
      <c r="L16" s="148">
        <v>63.021730300202051</v>
      </c>
      <c r="M16" s="148">
        <v>62.577468115175144</v>
      </c>
      <c r="N16" s="148">
        <v>68.622276619109698</v>
      </c>
      <c r="O16" s="148">
        <v>57.902308662604938</v>
      </c>
      <c r="P16" s="148">
        <v>57.328300785284505</v>
      </c>
      <c r="Q16" s="148">
        <v>57.143213087732533</v>
      </c>
      <c r="R16" s="148">
        <v>56.849841216456056</v>
      </c>
      <c r="S16" s="148">
        <v>63.960399686689065</v>
      </c>
      <c r="T16" s="148">
        <v>60.906151653471163</v>
      </c>
      <c r="U16" s="148">
        <v>55.012241513063017</v>
      </c>
      <c r="V16" s="148">
        <v>53.539898777037983</v>
      </c>
      <c r="W16" s="148">
        <v>60.557205757035163</v>
      </c>
      <c r="X16" s="148">
        <v>62.975593668296426</v>
      </c>
    </row>
    <row r="17" spans="1:24" ht="15.75" customHeight="1">
      <c r="A17" s="9" t="s">
        <v>82</v>
      </c>
      <c r="B17" s="146">
        <v>0</v>
      </c>
      <c r="C17" s="146">
        <v>0</v>
      </c>
      <c r="D17" s="146">
        <v>0</v>
      </c>
      <c r="E17" s="146">
        <v>0</v>
      </c>
      <c r="F17" s="146">
        <v>0</v>
      </c>
      <c r="G17" s="146">
        <v>0</v>
      </c>
      <c r="H17" s="146">
        <v>0</v>
      </c>
      <c r="I17" s="146">
        <v>0</v>
      </c>
      <c r="J17" s="146">
        <v>0</v>
      </c>
      <c r="K17" s="146">
        <v>0</v>
      </c>
      <c r="L17" s="146">
        <v>0</v>
      </c>
      <c r="M17" s="146">
        <v>0</v>
      </c>
      <c r="N17" s="148">
        <v>0</v>
      </c>
      <c r="O17" s="148">
        <v>0</v>
      </c>
      <c r="P17" s="148">
        <v>0</v>
      </c>
      <c r="Q17" s="148">
        <v>0</v>
      </c>
      <c r="R17" s="148" t="s">
        <v>149</v>
      </c>
      <c r="S17" s="148" t="s">
        <v>149</v>
      </c>
      <c r="T17" s="408">
        <v>24.171935344968901</v>
      </c>
      <c r="U17" s="408">
        <v>23.174537908097399</v>
      </c>
      <c r="V17" s="148">
        <v>22.82798555754</v>
      </c>
      <c r="W17" s="148">
        <v>27.362861369066898</v>
      </c>
      <c r="X17" s="148">
        <v>29.1446828201606</v>
      </c>
    </row>
    <row r="18" spans="1:24" ht="15.75" customHeight="1">
      <c r="A18" s="9" t="s">
        <v>9</v>
      </c>
      <c r="B18" s="146">
        <v>61.20022015340696</v>
      </c>
      <c r="C18" s="146">
        <v>50.547134176968768</v>
      </c>
      <c r="D18" s="146">
        <v>45.160789293479873</v>
      </c>
      <c r="E18" s="146">
        <v>41.59964434136733</v>
      </c>
      <c r="F18" s="146">
        <v>30.487308958470255</v>
      </c>
      <c r="G18" s="146">
        <v>34.829395765596338</v>
      </c>
      <c r="H18" s="146">
        <v>1.1094307470737535E-2</v>
      </c>
      <c r="I18" s="146">
        <v>10.650115560839133</v>
      </c>
      <c r="J18" s="148" t="s">
        <v>149</v>
      </c>
      <c r="K18" s="148">
        <v>10.82</v>
      </c>
      <c r="L18" s="148">
        <v>14.3</v>
      </c>
      <c r="M18" s="148">
        <v>19.369742260250774</v>
      </c>
      <c r="N18" s="148">
        <v>30.998615000392356</v>
      </c>
      <c r="O18" s="148">
        <v>24.901516565124915</v>
      </c>
      <c r="P18" s="148">
        <v>11</v>
      </c>
      <c r="Q18" s="148">
        <v>15.3</v>
      </c>
      <c r="R18" s="148">
        <v>27.4</v>
      </c>
      <c r="S18" s="148">
        <v>19.98</v>
      </c>
      <c r="T18" s="148">
        <v>17.628622800669898</v>
      </c>
      <c r="U18" s="148">
        <v>17.459238806324375</v>
      </c>
      <c r="V18" s="148">
        <v>18.198809070268606</v>
      </c>
      <c r="W18" s="148">
        <v>17.571546270845019</v>
      </c>
      <c r="X18" s="148">
        <v>17.375301468864993</v>
      </c>
    </row>
    <row r="19" spans="1:24" ht="6" customHeight="1">
      <c r="A19" s="9"/>
      <c r="B19" s="72"/>
      <c r="C19" s="72"/>
      <c r="D19" s="72"/>
      <c r="E19" s="72"/>
      <c r="F19" s="72"/>
      <c r="G19" s="72"/>
    </row>
    <row r="20" spans="1:24" s="134" customFormat="1" ht="18" customHeight="1">
      <c r="A20" s="564" t="s">
        <v>10</v>
      </c>
      <c r="B20" s="565">
        <v>26.055072044245691</v>
      </c>
      <c r="C20" s="565">
        <v>26.488791366193837</v>
      </c>
      <c r="D20" s="565">
        <v>20.069633144849231</v>
      </c>
      <c r="E20" s="565">
        <v>21.294386256714407</v>
      </c>
      <c r="F20" s="565">
        <v>22.015815920468057</v>
      </c>
      <c r="G20" s="565">
        <v>18.338712828662889</v>
      </c>
      <c r="H20" s="565">
        <v>25.179799643441292</v>
      </c>
      <c r="I20" s="565">
        <v>14.524702993994399</v>
      </c>
      <c r="J20" s="565"/>
      <c r="K20" s="565"/>
      <c r="L20" s="565"/>
      <c r="M20" s="565"/>
      <c r="N20" s="565"/>
      <c r="O20" s="565"/>
      <c r="P20" s="565"/>
      <c r="Q20" s="566"/>
      <c r="R20" s="566"/>
      <c r="S20" s="566"/>
      <c r="T20" s="566"/>
      <c r="U20" s="566"/>
      <c r="V20" s="566"/>
      <c r="W20" s="566"/>
      <c r="X20" s="566"/>
    </row>
    <row r="21" spans="1:24" ht="15.75" customHeight="1">
      <c r="B21" s="25"/>
      <c r="C21" s="25"/>
      <c r="D21" s="25"/>
      <c r="E21" s="25"/>
      <c r="G21" s="25"/>
    </row>
    <row r="22" spans="1:24" ht="15.75" customHeight="1">
      <c r="A22" s="88" t="s">
        <v>395</v>
      </c>
      <c r="B22" s="25"/>
      <c r="C22" s="25"/>
      <c r="D22" s="25"/>
      <c r="E22" s="25"/>
      <c r="G22" s="25"/>
    </row>
    <row r="23" spans="1:24" ht="15.75" customHeight="1">
      <c r="A23" s="522" t="s">
        <v>457</v>
      </c>
      <c r="B23" s="25"/>
      <c r="C23" s="25"/>
      <c r="D23" s="25"/>
      <c r="E23" s="25"/>
      <c r="G23" s="25"/>
    </row>
    <row r="24" spans="1:24" ht="15.75" customHeight="1">
      <c r="B24" s="25"/>
      <c r="C24" s="25"/>
      <c r="D24" s="25"/>
      <c r="E24" s="25"/>
      <c r="G24" s="25"/>
    </row>
    <row r="25" spans="1:24" ht="15.75" customHeight="1">
      <c r="B25" s="25"/>
      <c r="C25" s="25"/>
      <c r="D25" s="25"/>
      <c r="E25" s="25"/>
      <c r="G25" s="25"/>
    </row>
    <row r="26" spans="1:24" ht="15.75" customHeight="1">
      <c r="B26" s="25"/>
      <c r="C26" s="25"/>
      <c r="D26" s="25"/>
      <c r="E26" s="25"/>
      <c r="G26" s="25"/>
    </row>
    <row r="27" spans="1:24" ht="15.75" customHeight="1">
      <c r="B27" s="25"/>
      <c r="C27" s="25"/>
      <c r="D27" s="25"/>
      <c r="E27" s="25"/>
      <c r="G27" s="25"/>
    </row>
    <row r="28" spans="1:24" ht="15.75" customHeight="1">
      <c r="B28" s="25"/>
      <c r="C28" s="25"/>
      <c r="D28" s="25"/>
      <c r="E28" s="25"/>
      <c r="G28" s="25"/>
    </row>
    <row r="29" spans="1:24" ht="15.75" customHeight="1">
      <c r="B29" s="25"/>
      <c r="C29" s="25"/>
      <c r="D29" s="25"/>
      <c r="E29" s="25"/>
      <c r="G29" s="25"/>
    </row>
    <row r="30" spans="1:24" ht="15.75" customHeight="1">
      <c r="B30" s="25"/>
      <c r="C30" s="25"/>
      <c r="D30" s="25"/>
      <c r="E30" s="25"/>
      <c r="G30" s="25"/>
    </row>
    <row r="31" spans="1:24" ht="15.75" customHeight="1">
      <c r="B31" s="25"/>
      <c r="C31" s="25"/>
      <c r="D31" s="25"/>
      <c r="E31" s="25"/>
      <c r="G31" s="25"/>
    </row>
    <row r="32" spans="1:24" ht="15.75" customHeight="1">
      <c r="B32" s="25"/>
      <c r="C32" s="25"/>
      <c r="D32" s="25"/>
      <c r="E32" s="25"/>
      <c r="G32" s="25"/>
    </row>
    <row r="33" spans="2:7" ht="15.75" customHeight="1">
      <c r="B33" s="25"/>
      <c r="C33" s="25"/>
      <c r="D33" s="25"/>
      <c r="E33" s="25"/>
      <c r="G33" s="25"/>
    </row>
    <row r="34" spans="2:7" ht="15.75" customHeight="1">
      <c r="B34" s="25"/>
      <c r="C34" s="25"/>
      <c r="D34" s="25"/>
      <c r="E34" s="25"/>
      <c r="G34" s="25"/>
    </row>
    <row r="35" spans="2:7" ht="15.75" customHeight="1">
      <c r="B35" s="25"/>
      <c r="C35" s="25"/>
      <c r="D35" s="25"/>
      <c r="E35" s="25"/>
      <c r="G35" s="25"/>
    </row>
    <row r="36" spans="2:7" ht="15.75" customHeight="1">
      <c r="B36" s="25"/>
      <c r="C36" s="25"/>
      <c r="D36" s="25"/>
      <c r="E36" s="25"/>
      <c r="G36" s="25"/>
    </row>
    <row r="37" spans="2:7" ht="15.75" customHeight="1">
      <c r="B37" s="25"/>
      <c r="C37" s="25"/>
      <c r="D37" s="25"/>
      <c r="E37" s="25"/>
      <c r="G37" s="25"/>
    </row>
    <row r="38" spans="2:7" ht="15.75" customHeight="1">
      <c r="B38" s="25"/>
      <c r="C38" s="25"/>
      <c r="D38" s="25"/>
      <c r="E38" s="25"/>
      <c r="G38" s="25"/>
    </row>
  </sheetData>
  <phoneticPr fontId="9" type="noConversion"/>
  <printOptions horizontalCentered="1" verticalCentered="1"/>
  <pageMargins left="0.75" right="0.75" top="1" bottom="1" header="0.511811024" footer="0.511811024"/>
  <pageSetup scale="66" orientation="landscape" r:id="rId1"/>
  <headerFooter alignWithMargins="0">
    <oddHeader>&amp;A</oddHeader>
    <oddFooter>&amp;L&amp;F&amp;R&amp;D</oddFoot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X32"/>
  <sheetViews>
    <sheetView showGridLines="0" zoomScale="90" zoomScaleNormal="90" workbookViewId="0"/>
  </sheetViews>
  <sheetFormatPr baseColWidth="10" defaultRowHeight="15"/>
  <cols>
    <col min="1" max="1" width="12.625" style="13" customWidth="1"/>
    <col min="2" max="5" width="10.375" style="143" bestFit="1" customWidth="1"/>
    <col min="6" max="6" width="10.375" style="13" bestFit="1" customWidth="1"/>
    <col min="7" max="7" width="10.375" style="143" bestFit="1" customWidth="1"/>
    <col min="8" max="9" width="9.875" style="13" bestFit="1" customWidth="1"/>
    <col min="10" max="15" width="9.625" style="13" customWidth="1"/>
    <col min="16" max="16" width="11" style="13" customWidth="1"/>
    <col min="17" max="16384" width="11" style="13"/>
  </cols>
  <sheetData>
    <row r="1" spans="1:24">
      <c r="A1" s="10" t="s">
        <v>316</v>
      </c>
    </row>
    <row r="2" spans="1:24" ht="16.5" customHeight="1">
      <c r="A2" s="12" t="s">
        <v>88</v>
      </c>
      <c r="B2" s="12"/>
      <c r="C2" s="12"/>
      <c r="D2" s="12"/>
      <c r="E2" s="12"/>
      <c r="F2" s="12"/>
      <c r="G2" s="12"/>
    </row>
    <row r="3" spans="1:24" ht="15.75" customHeight="1">
      <c r="A3" s="10" t="s">
        <v>85</v>
      </c>
      <c r="B3" s="13"/>
      <c r="C3" s="13"/>
      <c r="D3" s="13"/>
      <c r="E3" s="13"/>
      <c r="G3" s="13"/>
    </row>
    <row r="4" spans="1:24" ht="9" customHeight="1">
      <c r="A4" s="74"/>
      <c r="B4" s="75"/>
      <c r="C4" s="75"/>
      <c r="D4" s="75"/>
      <c r="E4" s="75"/>
      <c r="G4" s="75"/>
    </row>
    <row r="5" spans="1:24" s="144" customFormat="1" ht="36.75" customHeight="1">
      <c r="A5" s="348" t="s">
        <v>0</v>
      </c>
      <c r="B5" s="77" t="s">
        <v>121</v>
      </c>
      <c r="C5" s="77" t="s">
        <v>119</v>
      </c>
      <c r="D5" s="77" t="s">
        <v>124</v>
      </c>
      <c r="E5" s="77" t="s">
        <v>141</v>
      </c>
      <c r="F5" s="77" t="s">
        <v>160</v>
      </c>
      <c r="G5" s="77" t="s">
        <v>177</v>
      </c>
      <c r="H5" s="317" t="s">
        <v>186</v>
      </c>
      <c r="I5" s="317" t="s">
        <v>188</v>
      </c>
      <c r="J5" s="317" t="s">
        <v>199</v>
      </c>
      <c r="K5" s="317" t="s">
        <v>200</v>
      </c>
      <c r="L5" s="317" t="s">
        <v>201</v>
      </c>
      <c r="M5" s="317" t="s">
        <v>202</v>
      </c>
      <c r="N5" s="317" t="s">
        <v>354</v>
      </c>
      <c r="O5" s="317" t="s">
        <v>371</v>
      </c>
      <c r="P5" s="317" t="s">
        <v>383</v>
      </c>
      <c r="Q5" s="317" t="s">
        <v>401</v>
      </c>
      <c r="R5" s="317" t="s">
        <v>440</v>
      </c>
      <c r="S5" s="317" t="s">
        <v>465</v>
      </c>
      <c r="T5" s="317" t="s">
        <v>477</v>
      </c>
      <c r="U5" s="317" t="s">
        <v>488</v>
      </c>
      <c r="V5" s="317" t="s">
        <v>499</v>
      </c>
      <c r="W5" s="317" t="s">
        <v>518</v>
      </c>
      <c r="X5" s="317" t="s">
        <v>530</v>
      </c>
    </row>
    <row r="6" spans="1:24" s="134" customFormat="1" ht="8.1" customHeight="1">
      <c r="A6" s="18"/>
      <c r="B6" s="135"/>
      <c r="C6" s="135"/>
      <c r="D6" s="135"/>
      <c r="E6" s="135"/>
      <c r="F6" s="135"/>
      <c r="G6" s="135"/>
      <c r="P6" s="76"/>
    </row>
    <row r="7" spans="1:24" ht="15.75" hidden="1" customHeight="1">
      <c r="A7" s="9" t="s">
        <v>2</v>
      </c>
      <c r="B7" s="146">
        <v>11.5161302158869</v>
      </c>
      <c r="C7" s="146">
        <v>7.01</v>
      </c>
      <c r="D7" s="146">
        <v>8.57</v>
      </c>
      <c r="E7" s="146">
        <v>8.3000000000000007</v>
      </c>
      <c r="F7" s="146">
        <v>9.08</v>
      </c>
      <c r="G7" s="154"/>
      <c r="H7" s="80"/>
      <c r="I7" s="80"/>
      <c r="J7" s="80"/>
      <c r="K7" s="80"/>
      <c r="L7" s="80"/>
      <c r="M7" s="80"/>
      <c r="N7" s="80"/>
    </row>
    <row r="8" spans="1:24" ht="15.75" hidden="1" customHeight="1">
      <c r="A8" s="9" t="s">
        <v>3</v>
      </c>
      <c r="B8" s="146">
        <v>39.419256447451154</v>
      </c>
      <c r="C8" s="146">
        <v>42.358153852397663</v>
      </c>
      <c r="D8" s="146">
        <v>48.521304442884542</v>
      </c>
      <c r="E8" s="146">
        <v>55.21120433379496</v>
      </c>
      <c r="F8" s="146">
        <v>36.18504349507743</v>
      </c>
      <c r="G8" s="146">
        <v>62.454742151412226</v>
      </c>
      <c r="H8" s="154"/>
      <c r="I8" s="154"/>
      <c r="J8" s="80"/>
      <c r="K8" s="80"/>
      <c r="L8" s="80"/>
      <c r="M8" s="80"/>
      <c r="N8" s="80"/>
    </row>
    <row r="9" spans="1:24" ht="15.75" customHeight="1">
      <c r="A9" s="9" t="s">
        <v>4</v>
      </c>
      <c r="B9" s="146">
        <v>59.70848310800595</v>
      </c>
      <c r="C9" s="146">
        <v>65.451540425173022</v>
      </c>
      <c r="D9" s="146">
        <v>77.498195319635983</v>
      </c>
      <c r="E9" s="146">
        <v>81.716070803924751</v>
      </c>
      <c r="F9" s="146">
        <v>63.191045270260304</v>
      </c>
      <c r="G9" s="146">
        <v>97.698775343336209</v>
      </c>
      <c r="H9" s="146">
        <v>53.464740264314116</v>
      </c>
      <c r="I9" s="148" t="s">
        <v>149</v>
      </c>
      <c r="J9" s="148" t="s">
        <v>149</v>
      </c>
      <c r="K9" s="148" t="s">
        <v>149</v>
      </c>
      <c r="L9" s="148" t="s">
        <v>149</v>
      </c>
      <c r="M9" s="148" t="s">
        <v>149</v>
      </c>
      <c r="N9" s="148" t="s">
        <v>149</v>
      </c>
      <c r="O9" s="148" t="s">
        <v>149</v>
      </c>
      <c r="P9" s="148" t="s">
        <v>149</v>
      </c>
      <c r="Q9" s="148" t="s">
        <v>149</v>
      </c>
      <c r="R9" s="148" t="s">
        <v>149</v>
      </c>
      <c r="S9" s="148" t="s">
        <v>149</v>
      </c>
      <c r="T9" s="148" t="s">
        <v>149</v>
      </c>
      <c r="U9" s="148" t="s">
        <v>149</v>
      </c>
      <c r="V9" s="148" t="s">
        <v>149</v>
      </c>
      <c r="W9" s="148" t="s">
        <v>149</v>
      </c>
      <c r="X9" s="148" t="s">
        <v>149</v>
      </c>
    </row>
    <row r="10" spans="1:24" ht="15.75" customHeight="1">
      <c r="A10" s="9" t="s">
        <v>5</v>
      </c>
      <c r="B10" s="146">
        <v>8.5353312434700932</v>
      </c>
      <c r="C10" s="146">
        <v>10.727166272909573</v>
      </c>
      <c r="D10" s="146">
        <v>13.023276214346327</v>
      </c>
      <c r="E10" s="146">
        <v>14.399345304501857</v>
      </c>
      <c r="F10" s="146">
        <v>15.58539596090845</v>
      </c>
      <c r="G10" s="146">
        <v>17.262654768934897</v>
      </c>
      <c r="H10" s="146">
        <v>19.002005003282697</v>
      </c>
      <c r="I10" s="148">
        <v>14.48</v>
      </c>
      <c r="J10" s="148">
        <v>15.5482547510265</v>
      </c>
      <c r="K10" s="148">
        <v>15.5816363627898</v>
      </c>
      <c r="L10" s="148">
        <v>17.589679041333898</v>
      </c>
      <c r="M10" s="148">
        <v>25.503686351892199</v>
      </c>
      <c r="N10" s="148">
        <v>15.972770729446299</v>
      </c>
      <c r="O10" s="148">
        <v>18.456871608663299</v>
      </c>
      <c r="P10" s="148">
        <v>19.057739267729961</v>
      </c>
      <c r="Q10" s="148" t="s">
        <v>149</v>
      </c>
      <c r="R10" s="148" t="s">
        <v>149</v>
      </c>
      <c r="S10" s="148" t="s">
        <v>149</v>
      </c>
      <c r="T10" s="159">
        <v>12.822824269793514</v>
      </c>
      <c r="U10" s="159">
        <v>8.6838208712910543</v>
      </c>
      <c r="V10" s="159">
        <v>13.00315429367763</v>
      </c>
      <c r="W10" s="148" t="s">
        <v>149</v>
      </c>
      <c r="X10" s="148">
        <v>13.316917</v>
      </c>
    </row>
    <row r="11" spans="1:24" ht="15.75" customHeight="1">
      <c r="A11" s="9" t="s">
        <v>50</v>
      </c>
      <c r="B11" s="146">
        <v>2.6637789566491552</v>
      </c>
      <c r="C11" s="146">
        <v>3.7322685694017026</v>
      </c>
      <c r="D11" s="146">
        <v>5.4401437853268817</v>
      </c>
      <c r="E11" s="146">
        <v>6.6384740195949981</v>
      </c>
      <c r="F11" s="146">
        <v>6.5970889433322064</v>
      </c>
      <c r="G11" s="146">
        <v>9.2709201055477433</v>
      </c>
      <c r="H11" s="146">
        <v>11.161129888119907</v>
      </c>
      <c r="I11" s="146">
        <v>17.33166729589583</v>
      </c>
      <c r="J11" s="159">
        <v>17.066871374718765</v>
      </c>
      <c r="K11" s="159">
        <v>17.541002027164396</v>
      </c>
      <c r="L11" s="159">
        <v>19.394018732630965</v>
      </c>
      <c r="M11" s="159">
        <v>18.677594069971892</v>
      </c>
      <c r="N11" s="159">
        <v>18.858140347252519</v>
      </c>
      <c r="O11" s="159">
        <v>18.074564679005604</v>
      </c>
      <c r="P11" s="159">
        <v>16.760494910458252</v>
      </c>
      <c r="Q11" s="159">
        <v>15.686158471158937</v>
      </c>
      <c r="R11" s="159">
        <v>19.252277651838739</v>
      </c>
      <c r="S11" s="159">
        <v>21.564482887066411</v>
      </c>
      <c r="T11" s="159">
        <v>18.87</v>
      </c>
      <c r="U11" s="159">
        <v>18.988656164184881</v>
      </c>
      <c r="V11" s="159">
        <v>21.793270428002501</v>
      </c>
      <c r="W11" s="159">
        <v>24.058499999999999</v>
      </c>
      <c r="X11" s="159">
        <v>23.554249561048877</v>
      </c>
    </row>
    <row r="12" spans="1:24" ht="15.75" customHeight="1">
      <c r="A12" s="9" t="s">
        <v>407</v>
      </c>
      <c r="B12" s="146">
        <v>22.067101354290926</v>
      </c>
      <c r="C12" s="146">
        <v>29.409938398357294</v>
      </c>
      <c r="D12" s="146">
        <v>37.31496209634809</v>
      </c>
      <c r="E12" s="146">
        <v>41.435080978266065</v>
      </c>
      <c r="F12" s="146">
        <v>46.853759404789422</v>
      </c>
      <c r="G12" s="146">
        <v>46.641624015590935</v>
      </c>
      <c r="H12" s="146">
        <v>45.886536139974041</v>
      </c>
      <c r="I12" s="146">
        <v>48.293824252990667</v>
      </c>
      <c r="J12" s="146">
        <v>47.728704951124215</v>
      </c>
      <c r="K12" s="159">
        <v>47.356016721957346</v>
      </c>
      <c r="L12" s="159">
        <v>49.687574293198637</v>
      </c>
      <c r="M12" s="159">
        <v>51.32651491358213</v>
      </c>
      <c r="N12" s="159">
        <v>52.072895645649439</v>
      </c>
      <c r="O12" s="159">
        <v>53.050597564901224</v>
      </c>
      <c r="P12" s="159">
        <v>55.332338117491588</v>
      </c>
      <c r="Q12" s="159">
        <v>57.343774501071962</v>
      </c>
      <c r="R12" s="159">
        <v>59.44510941850281</v>
      </c>
      <c r="S12" s="159">
        <v>55.034305138443159</v>
      </c>
      <c r="T12" s="159">
        <v>52.791082760000002</v>
      </c>
      <c r="U12" s="148" t="s">
        <v>149</v>
      </c>
      <c r="V12" s="148" t="s">
        <v>149</v>
      </c>
      <c r="W12" s="148" t="s">
        <v>149</v>
      </c>
      <c r="X12" s="148" t="s">
        <v>149</v>
      </c>
    </row>
    <row r="13" spans="1:24" ht="15.75" customHeight="1">
      <c r="A13" s="9" t="s">
        <v>7</v>
      </c>
      <c r="B13" s="146">
        <v>17.372652025635599</v>
      </c>
      <c r="C13" s="146">
        <v>23.068639755231686</v>
      </c>
      <c r="D13" s="146">
        <v>24.036528272133729</v>
      </c>
      <c r="E13" s="146">
        <v>23.239409094495244</v>
      </c>
      <c r="F13" s="146">
        <v>24.392716641897476</v>
      </c>
      <c r="G13" s="146">
        <v>21.485718975367401</v>
      </c>
      <c r="H13" s="146">
        <v>23.769561618995276</v>
      </c>
      <c r="I13" s="146">
        <v>38.528075507264234</v>
      </c>
      <c r="J13" s="148">
        <v>22.731750500618368</v>
      </c>
      <c r="K13" s="148">
        <v>23.079335673540985</v>
      </c>
      <c r="L13" s="148">
        <v>20.34862975176339</v>
      </c>
      <c r="M13" s="148">
        <v>20.571612072312877</v>
      </c>
      <c r="N13" s="148">
        <v>19.636272282462539</v>
      </c>
      <c r="O13" s="148">
        <v>19.556748740250352</v>
      </c>
      <c r="P13" s="148">
        <v>20.11620734592497</v>
      </c>
      <c r="Q13" s="148">
        <v>20.472174021967607</v>
      </c>
      <c r="R13" s="148">
        <v>24.296088205585207</v>
      </c>
      <c r="S13" s="148">
        <v>24.506489623996028</v>
      </c>
      <c r="T13" s="148">
        <v>23.269490032793698</v>
      </c>
      <c r="U13" s="148">
        <v>21.371182881925819</v>
      </c>
      <c r="V13" s="148">
        <v>22.589656788675942</v>
      </c>
      <c r="W13" s="673">
        <v>20.364834358510535</v>
      </c>
      <c r="X13" s="673">
        <v>22.479400146820129</v>
      </c>
    </row>
    <row r="14" spans="1:24" ht="15.75" customHeight="1">
      <c r="A14" s="9" t="s">
        <v>369</v>
      </c>
      <c r="B14" s="148" t="s">
        <v>149</v>
      </c>
      <c r="C14" s="148" t="s">
        <v>149</v>
      </c>
      <c r="D14" s="148" t="s">
        <v>149</v>
      </c>
      <c r="E14" s="148" t="s">
        <v>149</v>
      </c>
      <c r="F14" s="148" t="s">
        <v>149</v>
      </c>
      <c r="G14" s="148" t="s">
        <v>149</v>
      </c>
      <c r="H14" s="148" t="s">
        <v>149</v>
      </c>
      <c r="I14" s="148" t="s">
        <v>149</v>
      </c>
      <c r="J14" s="148" t="s">
        <v>149</v>
      </c>
      <c r="K14" s="148" t="s">
        <v>149</v>
      </c>
      <c r="L14" s="148" t="s">
        <v>149</v>
      </c>
      <c r="M14" s="148">
        <v>11.97</v>
      </c>
      <c r="N14" s="148">
        <v>9.4700000000000006</v>
      </c>
      <c r="O14" s="148">
        <v>10.34</v>
      </c>
      <c r="P14" s="148">
        <v>8.9</v>
      </c>
      <c r="Q14" s="148">
        <v>7.4</v>
      </c>
      <c r="R14" s="148">
        <v>7</v>
      </c>
      <c r="S14" s="148">
        <v>1.82</v>
      </c>
      <c r="T14" s="148">
        <v>1.74</v>
      </c>
      <c r="U14" s="148">
        <v>1.6</v>
      </c>
      <c r="V14" s="148">
        <v>1.6</v>
      </c>
      <c r="W14" s="148">
        <v>1.5</v>
      </c>
      <c r="X14" s="148">
        <v>1.5494279600330201</v>
      </c>
    </row>
    <row r="15" spans="1:24" ht="15.75" customHeight="1">
      <c r="A15" s="9" t="s">
        <v>363</v>
      </c>
      <c r="B15" s="148" t="s">
        <v>149</v>
      </c>
      <c r="C15" s="148" t="s">
        <v>149</v>
      </c>
      <c r="D15" s="148" t="s">
        <v>149</v>
      </c>
      <c r="E15" s="148" t="s">
        <v>149</v>
      </c>
      <c r="F15" s="148" t="s">
        <v>149</v>
      </c>
      <c r="G15" s="148" t="s">
        <v>149</v>
      </c>
      <c r="H15" s="148" t="s">
        <v>149</v>
      </c>
      <c r="I15" s="148" t="s">
        <v>149</v>
      </c>
      <c r="J15" s="148" t="s">
        <v>149</v>
      </c>
      <c r="K15" s="148" t="s">
        <v>149</v>
      </c>
      <c r="L15" s="148" t="s">
        <v>149</v>
      </c>
      <c r="M15" s="148" t="s">
        <v>149</v>
      </c>
      <c r="N15" s="148">
        <v>1.6</v>
      </c>
      <c r="O15" s="71">
        <v>1.1000000000000001</v>
      </c>
      <c r="P15" s="148">
        <v>1.1000000000000001</v>
      </c>
      <c r="Q15" s="148">
        <v>1.7</v>
      </c>
      <c r="R15" s="148">
        <v>1</v>
      </c>
      <c r="S15" s="148" t="s">
        <v>149</v>
      </c>
      <c r="T15" s="148" t="s">
        <v>149</v>
      </c>
      <c r="U15" s="148" t="s">
        <v>149</v>
      </c>
      <c r="V15" s="148" t="s">
        <v>149</v>
      </c>
      <c r="W15" s="148" t="s">
        <v>149</v>
      </c>
      <c r="X15" s="148" t="s">
        <v>149</v>
      </c>
    </row>
    <row r="16" spans="1:24" ht="15.75" customHeight="1">
      <c r="A16" s="9" t="s">
        <v>8</v>
      </c>
      <c r="B16" s="146">
        <v>4.245349268889373</v>
      </c>
      <c r="C16" s="146">
        <v>6.1271492258810589</v>
      </c>
      <c r="D16" s="146">
        <v>6.3849554467882639</v>
      </c>
      <c r="E16" s="146">
        <v>8.9267970568623465</v>
      </c>
      <c r="F16" s="146">
        <v>13.056338716220917</v>
      </c>
      <c r="G16" s="146">
        <v>13.273929413538783</v>
      </c>
      <c r="H16" s="146">
        <v>14.026670995619158</v>
      </c>
      <c r="I16" s="146">
        <v>13.789068660831333</v>
      </c>
      <c r="J16" s="146">
        <v>13.397968988265566</v>
      </c>
      <c r="K16" s="146">
        <v>13.518110402563249</v>
      </c>
      <c r="L16" s="146">
        <v>10.794376407796454</v>
      </c>
      <c r="M16" s="146">
        <v>17.165499082001258</v>
      </c>
      <c r="N16" s="148">
        <v>15.443011061686276</v>
      </c>
      <c r="O16" s="146">
        <v>19.93049026656151</v>
      </c>
      <c r="P16" s="146">
        <v>19.431648250530888</v>
      </c>
      <c r="Q16" s="146">
        <v>18.711001672710275</v>
      </c>
      <c r="R16" s="146">
        <v>19.640339554195887</v>
      </c>
      <c r="S16" s="146">
        <v>14.06188084761868</v>
      </c>
      <c r="T16" s="146">
        <v>7.0314013170345122</v>
      </c>
      <c r="U16" s="146">
        <v>7.2061255646847373</v>
      </c>
      <c r="V16" s="146">
        <v>11.631601421249909</v>
      </c>
      <c r="W16" s="146">
        <v>6.6183713589318547</v>
      </c>
      <c r="X16" s="146">
        <v>7.9977171729384304</v>
      </c>
    </row>
    <row r="17" spans="1:24" ht="15.75" customHeight="1">
      <c r="A17" s="9" t="s">
        <v>82</v>
      </c>
      <c r="B17" s="146">
        <v>0</v>
      </c>
      <c r="C17" s="146">
        <v>0</v>
      </c>
      <c r="D17" s="146">
        <v>0</v>
      </c>
      <c r="E17" s="146">
        <v>0</v>
      </c>
      <c r="F17" s="146" t="s">
        <v>294</v>
      </c>
      <c r="G17" s="146" t="s">
        <v>294</v>
      </c>
      <c r="H17" s="146" t="s">
        <v>294</v>
      </c>
      <c r="I17" s="146" t="s">
        <v>294</v>
      </c>
      <c r="J17" s="146">
        <v>58.462894391751959</v>
      </c>
      <c r="K17" s="146">
        <v>59.941037214755319</v>
      </c>
      <c r="L17" s="146">
        <v>65.459301411086543</v>
      </c>
      <c r="M17" s="146">
        <v>66.351840457053939</v>
      </c>
      <c r="N17" s="148">
        <v>69.844836674185046</v>
      </c>
      <c r="O17" s="146">
        <v>73.281634081398167</v>
      </c>
      <c r="P17" s="146">
        <v>74.390215620612338</v>
      </c>
      <c r="Q17" s="146">
        <v>74.433470805982793</v>
      </c>
      <c r="R17" s="146">
        <v>77.531796246142605</v>
      </c>
      <c r="S17" s="146">
        <v>79.246398840151684</v>
      </c>
      <c r="T17" s="146">
        <v>78.234390835538306</v>
      </c>
      <c r="U17" s="146">
        <v>76.794860453878101</v>
      </c>
      <c r="V17" s="146">
        <v>77.017709957793002</v>
      </c>
      <c r="W17" s="146">
        <v>72.273565572019805</v>
      </c>
      <c r="X17" s="146">
        <v>70.63</v>
      </c>
    </row>
    <row r="18" spans="1:24" ht="15.75" customHeight="1">
      <c r="A18" s="9" t="s">
        <v>9</v>
      </c>
      <c r="B18" s="146">
        <v>13.113027682232497</v>
      </c>
      <c r="C18" s="146">
        <v>13.396818080396248</v>
      </c>
      <c r="D18" s="146">
        <v>14.795513751651601</v>
      </c>
      <c r="E18" s="146">
        <v>13.622540117283569</v>
      </c>
      <c r="F18" s="146">
        <v>13.879326034405299</v>
      </c>
      <c r="G18" s="146">
        <v>12.362528447615109</v>
      </c>
      <c r="H18" s="146">
        <v>15.242221801958438</v>
      </c>
      <c r="I18" s="146">
        <v>33.560010816112026</v>
      </c>
      <c r="J18" s="148" t="s">
        <v>149</v>
      </c>
      <c r="K18" s="148">
        <v>29.581781400630963</v>
      </c>
      <c r="L18" s="148">
        <v>27.763423035501631</v>
      </c>
      <c r="M18" s="148">
        <v>24.746052495310842</v>
      </c>
      <c r="N18" s="148">
        <v>25.350719332970627</v>
      </c>
      <c r="O18" s="148">
        <v>29.292040298955012</v>
      </c>
      <c r="P18" s="148">
        <v>37.1</v>
      </c>
      <c r="Q18" s="148">
        <v>32.093582541028084</v>
      </c>
      <c r="R18" s="148">
        <v>25.58</v>
      </c>
      <c r="S18" s="148">
        <v>56.834823371205786</v>
      </c>
      <c r="T18" s="148">
        <v>55.098692641406856</v>
      </c>
      <c r="U18" s="148">
        <v>55.603276738063997</v>
      </c>
      <c r="V18" s="148">
        <v>55.22236178810379</v>
      </c>
      <c r="W18" s="148">
        <v>56.959998677763899</v>
      </c>
      <c r="X18" s="148">
        <v>56.203555748560277</v>
      </c>
    </row>
    <row r="19" spans="1:24" ht="8.1" customHeight="1">
      <c r="A19" s="9"/>
      <c r="B19" s="162"/>
      <c r="C19" s="162"/>
      <c r="D19" s="162"/>
      <c r="E19" s="162"/>
      <c r="F19" s="162"/>
      <c r="G19" s="162"/>
    </row>
    <row r="20" spans="1:24" s="11" customFormat="1" ht="15.75" customHeight="1">
      <c r="A20" s="85" t="s">
        <v>10</v>
      </c>
      <c r="B20" s="565"/>
      <c r="C20" s="565"/>
      <c r="D20" s="565"/>
      <c r="E20" s="565"/>
      <c r="F20" s="565"/>
      <c r="G20" s="565"/>
      <c r="H20" s="565"/>
      <c r="I20" s="565"/>
      <c r="J20" s="565"/>
      <c r="K20" s="565"/>
      <c r="L20" s="565"/>
      <c r="M20" s="565"/>
      <c r="N20" s="565"/>
      <c r="O20" s="565"/>
      <c r="P20" s="565"/>
      <c r="Q20" s="512"/>
      <c r="R20" s="512"/>
      <c r="S20" s="512"/>
      <c r="T20" s="512"/>
      <c r="U20" s="512"/>
      <c r="V20" s="512"/>
      <c r="W20" s="512"/>
      <c r="X20" s="512"/>
    </row>
    <row r="21" spans="1:24" ht="8.1" customHeight="1">
      <c r="A21" s="9"/>
      <c r="B21" s="87"/>
      <c r="C21" s="87"/>
      <c r="D21" s="87"/>
      <c r="E21" s="87"/>
      <c r="G21" s="87"/>
    </row>
    <row r="22" spans="1:24" ht="12" customHeight="1">
      <c r="A22" s="10" t="s">
        <v>317</v>
      </c>
      <c r="B22" s="13"/>
      <c r="C22" s="13"/>
      <c r="D22" s="13"/>
      <c r="E22" s="13"/>
      <c r="G22" s="13"/>
    </row>
    <row r="23" spans="1:24" ht="15.75" customHeight="1">
      <c r="A23" s="29" t="s">
        <v>345</v>
      </c>
      <c r="B23" s="25"/>
      <c r="C23" s="25"/>
      <c r="D23" s="25"/>
      <c r="E23" s="25"/>
      <c r="G23" s="25"/>
      <c r="H23" s="163"/>
      <c r="I23" s="163"/>
    </row>
    <row r="24" spans="1:24" ht="15.75" customHeight="1">
      <c r="A24" s="88" t="s">
        <v>451</v>
      </c>
      <c r="B24" s="25"/>
      <c r="C24" s="25"/>
      <c r="D24" s="25"/>
      <c r="E24" s="25"/>
      <c r="G24" s="25"/>
    </row>
    <row r="25" spans="1:24" ht="15.75" customHeight="1">
      <c r="A25" s="29" t="s">
        <v>450</v>
      </c>
      <c r="B25" s="25"/>
      <c r="C25" s="25"/>
      <c r="D25" s="25"/>
      <c r="E25" s="25"/>
      <c r="G25" s="25"/>
    </row>
    <row r="26" spans="1:24" ht="15.75" customHeight="1">
      <c r="A26" s="150"/>
      <c r="B26" s="25"/>
      <c r="C26" s="25"/>
      <c r="D26" s="25"/>
      <c r="E26" s="25"/>
      <c r="G26" s="25"/>
    </row>
    <row r="27" spans="1:24" ht="15.75" customHeight="1">
      <c r="A27" s="150"/>
      <c r="B27" s="25"/>
      <c r="C27" s="25"/>
      <c r="D27" s="25"/>
      <c r="E27" s="25"/>
      <c r="G27" s="25"/>
    </row>
    <row r="28" spans="1:24" ht="15.75" customHeight="1">
      <c r="A28" s="150"/>
      <c r="B28" s="25"/>
      <c r="C28" s="25"/>
      <c r="D28" s="25"/>
      <c r="E28" s="25"/>
      <c r="G28" s="25"/>
    </row>
    <row r="29" spans="1:24" ht="15.75" customHeight="1">
      <c r="A29" s="150"/>
      <c r="B29" s="25"/>
      <c r="C29" s="25"/>
      <c r="D29" s="25"/>
      <c r="E29" s="25"/>
      <c r="G29" s="25"/>
    </row>
    <row r="30" spans="1:24" ht="15.75" customHeight="1">
      <c r="A30" s="150"/>
      <c r="B30" s="25"/>
      <c r="C30" s="25"/>
      <c r="D30" s="25"/>
      <c r="E30" s="25"/>
      <c r="G30" s="25"/>
    </row>
    <row r="31" spans="1:24" ht="15.75" customHeight="1">
      <c r="B31" s="25"/>
      <c r="C31" s="25"/>
      <c r="D31" s="25"/>
      <c r="E31" s="25"/>
      <c r="G31" s="25"/>
    </row>
    <row r="32" spans="1:24" ht="15.75" customHeight="1">
      <c r="B32" s="25"/>
      <c r="C32" s="25"/>
      <c r="D32" s="25"/>
      <c r="E32" s="25"/>
      <c r="G32" s="25"/>
    </row>
  </sheetData>
  <phoneticPr fontId="9" type="noConversion"/>
  <printOptions horizontalCentered="1"/>
  <pageMargins left="0.23622047244094491" right="0.23622047244094491" top="0.74803149606299213" bottom="0.74803149606299213" header="0.31496062992125984" footer="0.31496062992125984"/>
  <pageSetup scale="90" orientation="landscape" r:id="rId1"/>
  <headerFooter alignWithMargins="0">
    <oddHeader>&amp;A</oddHeader>
    <oddFooter>&amp;L&amp;F&amp;R&amp;D</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T23"/>
  <sheetViews>
    <sheetView showGridLines="0" zoomScale="90" zoomScaleNormal="90" workbookViewId="0"/>
  </sheetViews>
  <sheetFormatPr baseColWidth="10" defaultRowHeight="15"/>
  <cols>
    <col min="1" max="1" width="12.625" style="13" customWidth="1"/>
    <col min="2" max="23" width="8.75" style="13" customWidth="1"/>
    <col min="24" max="24" width="3" style="13" customWidth="1"/>
    <col min="25" max="30" width="8.75" style="13" customWidth="1"/>
    <col min="31" max="31" width="8.75" style="143" customWidth="1"/>
    <col min="32" max="43" width="8.75" style="13" customWidth="1"/>
    <col min="44" max="16384" width="11" style="13"/>
  </cols>
  <sheetData>
    <row r="1" spans="1:46" ht="15.75" customHeight="1">
      <c r="A1" s="10" t="s">
        <v>318</v>
      </c>
      <c r="AE1" s="75"/>
    </row>
    <row r="2" spans="1:46" ht="15.75" customHeight="1">
      <c r="A2" s="12" t="s">
        <v>22</v>
      </c>
      <c r="AE2" s="75"/>
    </row>
    <row r="3" spans="1:46" ht="9" customHeight="1">
      <c r="A3" s="12"/>
      <c r="AE3" s="75"/>
    </row>
    <row r="4" spans="1:46" s="134" customFormat="1" ht="18" customHeight="1">
      <c r="A4" s="691" t="s">
        <v>0</v>
      </c>
      <c r="B4" s="691" t="s">
        <v>23</v>
      </c>
      <c r="C4" s="691"/>
      <c r="D4" s="691"/>
      <c r="E4" s="691"/>
      <c r="F4" s="691"/>
      <c r="G4" s="691"/>
      <c r="H4" s="691"/>
      <c r="I4" s="691"/>
      <c r="J4" s="691"/>
      <c r="K4" s="691"/>
      <c r="L4" s="691"/>
      <c r="M4" s="691"/>
      <c r="N4" s="691"/>
      <c r="O4" s="691"/>
      <c r="P4" s="691"/>
      <c r="Q4" s="691"/>
      <c r="R4" s="691"/>
      <c r="S4" s="691"/>
      <c r="T4" s="691"/>
      <c r="U4" s="691"/>
      <c r="V4" s="691"/>
      <c r="W4" s="691"/>
      <c r="X4" s="13"/>
      <c r="Y4" s="691" t="s">
        <v>24</v>
      </c>
      <c r="Z4" s="691"/>
      <c r="AA4" s="691"/>
      <c r="AB4" s="691"/>
      <c r="AC4" s="691"/>
      <c r="AD4" s="691"/>
      <c r="AE4" s="691"/>
      <c r="AF4" s="691"/>
      <c r="AG4" s="691"/>
      <c r="AH4" s="691"/>
      <c r="AI4" s="691"/>
      <c r="AJ4" s="691"/>
      <c r="AK4" s="691"/>
      <c r="AL4" s="691"/>
      <c r="AM4" s="691"/>
      <c r="AN4" s="691"/>
      <c r="AO4" s="691"/>
      <c r="AP4" s="691"/>
      <c r="AQ4" s="691"/>
      <c r="AR4" s="691"/>
      <c r="AS4" s="691"/>
      <c r="AT4" s="691"/>
    </row>
    <row r="5" spans="1:46" s="134" customFormat="1" ht="30.75" customHeight="1">
      <c r="A5" s="691"/>
      <c r="B5" s="77" t="s">
        <v>119</v>
      </c>
      <c r="C5" s="77" t="s">
        <v>124</v>
      </c>
      <c r="D5" s="77" t="s">
        <v>141</v>
      </c>
      <c r="E5" s="77" t="s">
        <v>160</v>
      </c>
      <c r="F5" s="77" t="s">
        <v>177</v>
      </c>
      <c r="G5" s="317" t="s">
        <v>186</v>
      </c>
      <c r="H5" s="317" t="s">
        <v>188</v>
      </c>
      <c r="I5" s="317" t="s">
        <v>199</v>
      </c>
      <c r="J5" s="317" t="s">
        <v>200</v>
      </c>
      <c r="K5" s="317" t="s">
        <v>201</v>
      </c>
      <c r="L5" s="317" t="s">
        <v>202</v>
      </c>
      <c r="M5" s="317" t="s">
        <v>354</v>
      </c>
      <c r="N5" s="317" t="s">
        <v>371</v>
      </c>
      <c r="O5" s="317" t="s">
        <v>383</v>
      </c>
      <c r="P5" s="317" t="s">
        <v>401</v>
      </c>
      <c r="Q5" s="317" t="s">
        <v>440</v>
      </c>
      <c r="R5" s="317" t="s">
        <v>465</v>
      </c>
      <c r="S5" s="317" t="s">
        <v>477</v>
      </c>
      <c r="T5" s="317" t="s">
        <v>488</v>
      </c>
      <c r="U5" s="317" t="s">
        <v>499</v>
      </c>
      <c r="V5" s="317" t="s">
        <v>518</v>
      </c>
      <c r="W5" s="317" t="s">
        <v>530</v>
      </c>
      <c r="X5" s="13"/>
      <c r="Y5" s="77" t="s">
        <v>119</v>
      </c>
      <c r="Z5" s="77" t="s">
        <v>124</v>
      </c>
      <c r="AA5" s="77" t="s">
        <v>141</v>
      </c>
      <c r="AB5" s="77" t="s">
        <v>160</v>
      </c>
      <c r="AC5" s="77" t="s">
        <v>177</v>
      </c>
      <c r="AD5" s="317" t="s">
        <v>186</v>
      </c>
      <c r="AE5" s="317" t="s">
        <v>188</v>
      </c>
      <c r="AF5" s="317" t="s">
        <v>199</v>
      </c>
      <c r="AG5" s="317" t="s">
        <v>200</v>
      </c>
      <c r="AH5" s="317" t="s">
        <v>201</v>
      </c>
      <c r="AI5" s="317" t="s">
        <v>202</v>
      </c>
      <c r="AJ5" s="317" t="s">
        <v>354</v>
      </c>
      <c r="AK5" s="317" t="s">
        <v>371</v>
      </c>
      <c r="AL5" s="317" t="s">
        <v>383</v>
      </c>
      <c r="AM5" s="317" t="s">
        <v>401</v>
      </c>
      <c r="AN5" s="317" t="s">
        <v>440</v>
      </c>
      <c r="AO5" s="317" t="s">
        <v>465</v>
      </c>
      <c r="AP5" s="317" t="s">
        <v>477</v>
      </c>
      <c r="AQ5" s="317" t="s">
        <v>488</v>
      </c>
      <c r="AR5" s="317" t="s">
        <v>499</v>
      </c>
      <c r="AS5" s="317" t="s">
        <v>518</v>
      </c>
      <c r="AT5" s="317" t="s">
        <v>530</v>
      </c>
    </row>
    <row r="6" spans="1:46" s="134" customFormat="1" ht="14.25" hidden="1" customHeight="1" thickTop="1">
      <c r="A6" s="9" t="s">
        <v>3</v>
      </c>
      <c r="B6" s="73">
        <v>2</v>
      </c>
      <c r="C6" s="73">
        <v>2</v>
      </c>
      <c r="D6" s="73">
        <v>2</v>
      </c>
      <c r="E6" s="73">
        <v>2</v>
      </c>
      <c r="F6" s="73">
        <v>2</v>
      </c>
      <c r="G6" s="73">
        <v>2</v>
      </c>
      <c r="H6" s="166"/>
      <c r="I6" s="166"/>
      <c r="J6" s="166"/>
      <c r="K6" s="166"/>
      <c r="L6" s="166"/>
      <c r="M6" s="166"/>
      <c r="N6" s="166"/>
      <c r="O6" s="166"/>
      <c r="P6" s="165" t="s">
        <v>443</v>
      </c>
      <c r="Q6" s="166"/>
      <c r="R6" s="166"/>
      <c r="S6" s="166"/>
      <c r="T6" s="166"/>
      <c r="U6" s="166"/>
      <c r="V6" s="166"/>
      <c r="W6" s="166"/>
      <c r="X6" s="73"/>
      <c r="Y6" s="146">
        <v>100</v>
      </c>
      <c r="Z6" s="146">
        <v>100</v>
      </c>
      <c r="AA6" s="146">
        <v>100</v>
      </c>
      <c r="AB6" s="146">
        <v>100</v>
      </c>
      <c r="AC6" s="146">
        <v>100</v>
      </c>
      <c r="AD6" s="146">
        <v>99.999999998635488</v>
      </c>
      <c r="AE6" s="167"/>
      <c r="AF6" s="167"/>
      <c r="AG6" s="167"/>
      <c r="AH6" s="167"/>
      <c r="AI6" s="167"/>
      <c r="AJ6" s="167"/>
    </row>
    <row r="7" spans="1:46">
      <c r="A7" s="9" t="s">
        <v>4</v>
      </c>
      <c r="B7" s="73">
        <v>6</v>
      </c>
      <c r="C7" s="73">
        <v>6</v>
      </c>
      <c r="D7" s="73">
        <v>6</v>
      </c>
      <c r="E7" s="73">
        <v>6</v>
      </c>
      <c r="F7" s="73">
        <v>5</v>
      </c>
      <c r="G7" s="73">
        <v>5</v>
      </c>
      <c r="H7" s="73">
        <v>5</v>
      </c>
      <c r="I7" s="73" t="s">
        <v>149</v>
      </c>
      <c r="J7" s="73">
        <v>6</v>
      </c>
      <c r="K7" s="73">
        <v>6</v>
      </c>
      <c r="L7" s="73">
        <v>6</v>
      </c>
      <c r="M7" s="73">
        <v>6</v>
      </c>
      <c r="N7" s="73">
        <v>6</v>
      </c>
      <c r="O7" s="73">
        <v>6</v>
      </c>
      <c r="P7" s="73">
        <v>6</v>
      </c>
      <c r="Q7" s="73">
        <v>7</v>
      </c>
      <c r="R7" s="73">
        <v>7</v>
      </c>
      <c r="S7" s="73">
        <v>7</v>
      </c>
      <c r="T7" s="73">
        <v>7</v>
      </c>
      <c r="U7" s="372">
        <v>7</v>
      </c>
      <c r="V7" s="372">
        <v>7</v>
      </c>
      <c r="W7" s="372">
        <v>7</v>
      </c>
      <c r="X7" s="73"/>
      <c r="Y7" s="146">
        <v>55.495199576613651</v>
      </c>
      <c r="Z7" s="146">
        <v>55.274654345874943</v>
      </c>
      <c r="AA7" s="146">
        <v>54.968082440589605</v>
      </c>
      <c r="AB7" s="146">
        <v>54.435091026983343</v>
      </c>
      <c r="AC7" s="146">
        <v>55.086298381498246</v>
      </c>
      <c r="AD7" s="146">
        <v>55.054949089838644</v>
      </c>
      <c r="AE7" s="168">
        <v>54.797640593719223</v>
      </c>
      <c r="AF7" s="148">
        <v>54.4</v>
      </c>
      <c r="AG7" s="72">
        <v>54.4</v>
      </c>
      <c r="AH7" s="72">
        <v>54.1</v>
      </c>
      <c r="AI7" s="72">
        <v>53.7</v>
      </c>
      <c r="AJ7" s="72">
        <v>53.6</v>
      </c>
      <c r="AK7" s="72">
        <v>53.433398321421272</v>
      </c>
      <c r="AL7" s="72">
        <v>52.626035693577961</v>
      </c>
      <c r="AM7" s="72">
        <v>52.878180820015125</v>
      </c>
      <c r="AN7" s="73" t="s">
        <v>149</v>
      </c>
      <c r="AO7" s="72">
        <v>52.562672663653906</v>
      </c>
      <c r="AP7" s="72">
        <v>51.386498351883141</v>
      </c>
      <c r="AQ7" s="72">
        <v>50.813669240917889</v>
      </c>
      <c r="AR7" s="72">
        <v>49.054436623854592</v>
      </c>
      <c r="AS7" s="72">
        <v>48.503672175657385</v>
      </c>
      <c r="AT7" s="72">
        <v>47.190568185699192</v>
      </c>
    </row>
    <row r="8" spans="1:46">
      <c r="A8" s="9" t="s">
        <v>5</v>
      </c>
      <c r="B8" s="73">
        <v>6</v>
      </c>
      <c r="C8" s="73">
        <v>6</v>
      </c>
      <c r="D8" s="73">
        <v>6</v>
      </c>
      <c r="E8" s="73">
        <v>6</v>
      </c>
      <c r="F8" s="73">
        <v>6</v>
      </c>
      <c r="G8" s="73">
        <v>6</v>
      </c>
      <c r="H8" s="73">
        <v>6</v>
      </c>
      <c r="I8" s="73">
        <v>6</v>
      </c>
      <c r="J8" s="73">
        <v>6</v>
      </c>
      <c r="K8" s="73">
        <v>5</v>
      </c>
      <c r="L8" s="73">
        <v>4</v>
      </c>
      <c r="M8" s="73">
        <v>4</v>
      </c>
      <c r="N8" s="73">
        <v>4</v>
      </c>
      <c r="O8" s="73" t="s">
        <v>149</v>
      </c>
      <c r="P8" s="73" t="s">
        <v>149</v>
      </c>
      <c r="Q8" s="73" t="s">
        <v>149</v>
      </c>
      <c r="R8" s="73" t="s">
        <v>149</v>
      </c>
      <c r="S8" s="73">
        <v>4</v>
      </c>
      <c r="T8" s="73">
        <v>4</v>
      </c>
      <c r="U8" s="73">
        <v>4</v>
      </c>
      <c r="V8" s="73">
        <v>4</v>
      </c>
      <c r="W8" s="73">
        <v>4</v>
      </c>
      <c r="X8" s="73"/>
      <c r="Y8" s="146">
        <v>50.925596559865383</v>
      </c>
      <c r="Z8" s="146">
        <v>51.302414179999822</v>
      </c>
      <c r="AA8" s="146">
        <v>51.74698211036911</v>
      </c>
      <c r="AB8" s="146">
        <v>51.633490051445129</v>
      </c>
      <c r="AC8" s="146">
        <v>52.039132171103262</v>
      </c>
      <c r="AD8" s="146">
        <v>52.445265886846293</v>
      </c>
      <c r="AE8" s="168">
        <v>53.081447068298282</v>
      </c>
      <c r="AF8" s="168">
        <v>53.200764446109901</v>
      </c>
      <c r="AG8" s="72">
        <v>53.440841014279201</v>
      </c>
      <c r="AH8" s="72">
        <v>64.869807676190405</v>
      </c>
      <c r="AI8" s="72">
        <v>80.628880290672299</v>
      </c>
      <c r="AJ8" s="72">
        <v>80.596305724309801</v>
      </c>
      <c r="AK8" s="72">
        <v>80.426745222525298</v>
      </c>
      <c r="AL8" s="72">
        <v>80.532968618430999</v>
      </c>
      <c r="AM8" s="73" t="s">
        <v>149</v>
      </c>
      <c r="AN8" s="73" t="s">
        <v>149</v>
      </c>
      <c r="AO8" s="73" t="s">
        <v>149</v>
      </c>
      <c r="AP8" s="72">
        <v>80.774532688195663</v>
      </c>
      <c r="AQ8" s="72">
        <v>81.298322765732422</v>
      </c>
      <c r="AR8" s="72">
        <v>81.61142524820923</v>
      </c>
      <c r="AS8" s="72">
        <v>81.94</v>
      </c>
      <c r="AT8" s="72">
        <v>82.535908699999993</v>
      </c>
    </row>
    <row r="9" spans="1:46">
      <c r="A9" s="9" t="s">
        <v>50</v>
      </c>
      <c r="B9" s="73">
        <v>8</v>
      </c>
      <c r="C9" s="73">
        <v>8</v>
      </c>
      <c r="D9" s="73">
        <v>8</v>
      </c>
      <c r="E9" s="73">
        <v>8</v>
      </c>
      <c r="F9" s="73">
        <v>8</v>
      </c>
      <c r="G9" s="73">
        <v>8</v>
      </c>
      <c r="H9" s="73">
        <v>8</v>
      </c>
      <c r="I9" s="73">
        <v>7</v>
      </c>
      <c r="J9" s="73">
        <v>6</v>
      </c>
      <c r="K9" s="73">
        <v>6</v>
      </c>
      <c r="L9" s="73">
        <v>6</v>
      </c>
      <c r="M9" s="73">
        <v>6</v>
      </c>
      <c r="N9" s="73">
        <v>6</v>
      </c>
      <c r="O9" s="73">
        <v>6</v>
      </c>
      <c r="P9" s="73">
        <v>6</v>
      </c>
      <c r="Q9" s="73">
        <v>6</v>
      </c>
      <c r="R9" s="73">
        <v>6</v>
      </c>
      <c r="S9" s="73">
        <v>6</v>
      </c>
      <c r="T9" s="73">
        <v>6</v>
      </c>
      <c r="U9" s="73">
        <v>6</v>
      </c>
      <c r="V9" s="73">
        <v>6</v>
      </c>
      <c r="W9" s="73">
        <v>6</v>
      </c>
      <c r="X9" s="73"/>
      <c r="Y9" s="146">
        <v>64.323667819167682</v>
      </c>
      <c r="Z9" s="160">
        <v>61.072508387937184</v>
      </c>
      <c r="AA9" s="160">
        <v>58.859785040133872</v>
      </c>
      <c r="AB9" s="160">
        <v>57.192308333966736</v>
      </c>
      <c r="AC9" s="160">
        <v>55.212332995069055</v>
      </c>
      <c r="AD9" s="160">
        <v>53.155732478880935</v>
      </c>
      <c r="AE9" s="35">
        <v>60.111350926318366</v>
      </c>
      <c r="AF9" s="35">
        <v>58.525397010669792</v>
      </c>
      <c r="AG9" s="72">
        <v>58.039489217491557</v>
      </c>
      <c r="AH9" s="72">
        <v>57.676348644460205</v>
      </c>
      <c r="AI9" s="72">
        <v>57.534574140536563</v>
      </c>
      <c r="AJ9" s="72">
        <v>57.4</v>
      </c>
      <c r="AK9" s="72">
        <v>57.72</v>
      </c>
      <c r="AL9" s="72">
        <v>58</v>
      </c>
      <c r="AM9" s="72">
        <v>58.1</v>
      </c>
      <c r="AN9" s="356">
        <v>59.07</v>
      </c>
      <c r="AO9" s="72">
        <v>59.07</v>
      </c>
      <c r="AP9" s="72">
        <v>60.3</v>
      </c>
      <c r="AQ9" s="72">
        <v>59.45</v>
      </c>
      <c r="AR9" s="72">
        <v>58.771414273629503</v>
      </c>
      <c r="AS9" s="72">
        <v>58.870730000000002</v>
      </c>
      <c r="AT9" s="72">
        <v>59.241933432572857</v>
      </c>
    </row>
    <row r="10" spans="1:46">
      <c r="A10" s="9" t="s">
        <v>6</v>
      </c>
      <c r="B10" s="73">
        <v>2</v>
      </c>
      <c r="C10" s="73">
        <v>2</v>
      </c>
      <c r="D10" s="73">
        <v>2</v>
      </c>
      <c r="E10" s="73">
        <v>2</v>
      </c>
      <c r="F10" s="73">
        <v>2</v>
      </c>
      <c r="G10" s="73">
        <v>2</v>
      </c>
      <c r="H10" s="73">
        <v>2</v>
      </c>
      <c r="I10" s="73">
        <v>2</v>
      </c>
      <c r="J10" s="73">
        <v>2</v>
      </c>
      <c r="K10" s="73">
        <v>2</v>
      </c>
      <c r="L10" s="73">
        <v>2</v>
      </c>
      <c r="M10" s="73">
        <v>2</v>
      </c>
      <c r="N10" s="73">
        <v>2</v>
      </c>
      <c r="O10" s="73">
        <v>2</v>
      </c>
      <c r="P10" s="73">
        <v>2</v>
      </c>
      <c r="Q10" s="73">
        <v>2</v>
      </c>
      <c r="R10" s="73">
        <v>2</v>
      </c>
      <c r="S10" s="73">
        <v>2</v>
      </c>
      <c r="T10" s="73" t="s">
        <v>149</v>
      </c>
      <c r="U10" s="73" t="s">
        <v>149</v>
      </c>
      <c r="V10" s="73" t="s">
        <v>149</v>
      </c>
      <c r="W10" s="73" t="s">
        <v>149</v>
      </c>
      <c r="X10" s="73"/>
      <c r="Y10" s="146">
        <v>99.999630768038045</v>
      </c>
      <c r="Z10" s="146">
        <v>99.999736466341943</v>
      </c>
      <c r="AA10" s="146">
        <v>100</v>
      </c>
      <c r="AB10" s="146">
        <v>100</v>
      </c>
      <c r="AC10" s="146">
        <v>100</v>
      </c>
      <c r="AD10" s="146">
        <v>99.999999999999773</v>
      </c>
      <c r="AE10" s="168">
        <v>99.999999999999773</v>
      </c>
      <c r="AF10" s="148">
        <v>99.999999999999801</v>
      </c>
      <c r="AG10" s="72">
        <v>99.999999999999801</v>
      </c>
      <c r="AH10" s="72">
        <v>99.999999999999801</v>
      </c>
      <c r="AI10" s="72">
        <v>99.999999999999801</v>
      </c>
      <c r="AJ10" s="72">
        <v>100</v>
      </c>
      <c r="AK10" s="72">
        <v>100</v>
      </c>
      <c r="AL10" s="72">
        <v>100</v>
      </c>
      <c r="AM10" s="72">
        <v>100</v>
      </c>
      <c r="AN10" s="72">
        <v>100</v>
      </c>
      <c r="AO10" s="72">
        <v>100</v>
      </c>
      <c r="AP10" s="72">
        <v>100</v>
      </c>
      <c r="AQ10" s="73" t="s">
        <v>149</v>
      </c>
      <c r="AR10" s="73" t="s">
        <v>149</v>
      </c>
      <c r="AS10" s="73" t="s">
        <v>149</v>
      </c>
      <c r="AT10" s="73" t="s">
        <v>149</v>
      </c>
    </row>
    <row r="11" spans="1:46">
      <c r="A11" s="9" t="s">
        <v>7</v>
      </c>
      <c r="B11" s="73">
        <v>13</v>
      </c>
      <c r="C11" s="73">
        <v>15</v>
      </c>
      <c r="D11" s="73">
        <v>17</v>
      </c>
      <c r="E11" s="73">
        <v>21</v>
      </c>
      <c r="F11" s="73">
        <v>18</v>
      </c>
      <c r="G11" s="73">
        <v>16</v>
      </c>
      <c r="H11" s="73">
        <v>16</v>
      </c>
      <c r="I11" s="73">
        <v>14</v>
      </c>
      <c r="J11" s="73">
        <v>13</v>
      </c>
      <c r="K11" s="73">
        <v>12</v>
      </c>
      <c r="L11" s="73">
        <v>11</v>
      </c>
      <c r="M11" s="73">
        <v>11</v>
      </c>
      <c r="N11" s="73">
        <v>11</v>
      </c>
      <c r="O11" s="73">
        <v>11</v>
      </c>
      <c r="P11" s="73">
        <v>10</v>
      </c>
      <c r="Q11" s="73">
        <v>10</v>
      </c>
      <c r="R11" s="73">
        <v>10</v>
      </c>
      <c r="S11" s="73">
        <v>10</v>
      </c>
      <c r="T11" s="73">
        <v>10</v>
      </c>
      <c r="U11" s="73">
        <v>10</v>
      </c>
      <c r="V11" s="73">
        <v>10</v>
      </c>
      <c r="W11" s="73">
        <v>10</v>
      </c>
      <c r="X11" s="73"/>
      <c r="Y11" s="146">
        <v>43.10018620065167</v>
      </c>
      <c r="Z11" s="146">
        <v>40.963242640575608</v>
      </c>
      <c r="AA11" s="146">
        <v>36.522790701003636</v>
      </c>
      <c r="AB11" s="146">
        <v>35.787550909034096</v>
      </c>
      <c r="AC11" s="146">
        <v>35.659440503416484</v>
      </c>
      <c r="AD11" s="146">
        <v>32.882908660219734</v>
      </c>
      <c r="AE11" s="168">
        <v>32.050543041297253</v>
      </c>
      <c r="AF11" s="148">
        <v>31.273534263406805</v>
      </c>
      <c r="AG11" s="72">
        <v>31.656717759385455</v>
      </c>
      <c r="AH11" s="72">
        <v>42.795570649853104</v>
      </c>
      <c r="AI11" s="72">
        <v>41.473314840710508</v>
      </c>
      <c r="AJ11" s="72">
        <v>40.686072849108832</v>
      </c>
      <c r="AK11" s="72">
        <v>40.097941811688429</v>
      </c>
      <c r="AL11" s="72">
        <v>40.097453031896904</v>
      </c>
      <c r="AM11" s="72">
        <v>39.212847326545202</v>
      </c>
      <c r="AN11" s="72">
        <v>39.023669454527521</v>
      </c>
      <c r="AO11" s="72">
        <v>37.466043090235772</v>
      </c>
      <c r="AP11" s="72">
        <v>35.654068937938611</v>
      </c>
      <c r="AQ11" s="72">
        <v>35.274266034486736</v>
      </c>
      <c r="AR11" s="72">
        <v>35.323421437195442</v>
      </c>
      <c r="AS11" s="72">
        <v>35.467292688639681</v>
      </c>
      <c r="AT11" s="72">
        <v>36.204142281244309</v>
      </c>
    </row>
    <row r="12" spans="1:46">
      <c r="A12" s="9" t="s">
        <v>369</v>
      </c>
      <c r="B12" s="73" t="s">
        <v>149</v>
      </c>
      <c r="C12" s="73" t="s">
        <v>149</v>
      </c>
      <c r="D12" s="73" t="s">
        <v>149</v>
      </c>
      <c r="E12" s="73" t="s">
        <v>149</v>
      </c>
      <c r="F12" s="73" t="s">
        <v>149</v>
      </c>
      <c r="G12" s="73" t="s">
        <v>149</v>
      </c>
      <c r="H12" s="73" t="s">
        <v>149</v>
      </c>
      <c r="I12" s="73" t="s">
        <v>149</v>
      </c>
      <c r="J12" s="73" t="s">
        <v>149</v>
      </c>
      <c r="K12" s="73" t="s">
        <v>149</v>
      </c>
      <c r="L12" s="73" t="s">
        <v>149</v>
      </c>
      <c r="M12" s="73">
        <v>2</v>
      </c>
      <c r="N12" s="73">
        <v>2</v>
      </c>
      <c r="O12" s="73">
        <v>2</v>
      </c>
      <c r="P12" s="73">
        <v>3</v>
      </c>
      <c r="Q12" s="73">
        <v>3</v>
      </c>
      <c r="R12" s="73">
        <v>3</v>
      </c>
      <c r="S12" s="73">
        <v>3</v>
      </c>
      <c r="T12" s="73">
        <v>3</v>
      </c>
      <c r="U12" s="73">
        <v>4</v>
      </c>
      <c r="V12" s="73">
        <v>4</v>
      </c>
      <c r="W12" s="73">
        <v>4</v>
      </c>
      <c r="X12" s="73"/>
      <c r="Y12" s="73" t="s">
        <v>149</v>
      </c>
      <c r="Z12" s="73" t="s">
        <v>149</v>
      </c>
      <c r="AA12" s="73" t="s">
        <v>149</v>
      </c>
      <c r="AB12" s="73" t="s">
        <v>149</v>
      </c>
      <c r="AC12" s="73" t="s">
        <v>149</v>
      </c>
      <c r="AD12" s="146">
        <v>100</v>
      </c>
      <c r="AE12" s="73" t="s">
        <v>149</v>
      </c>
      <c r="AF12" s="73" t="s">
        <v>149</v>
      </c>
      <c r="AG12" s="73" t="s">
        <v>149</v>
      </c>
      <c r="AH12" s="73" t="s">
        <v>149</v>
      </c>
      <c r="AI12" s="146">
        <v>100</v>
      </c>
      <c r="AJ12" s="72">
        <v>100</v>
      </c>
      <c r="AK12" s="72">
        <v>100</v>
      </c>
      <c r="AL12" s="72">
        <v>100</v>
      </c>
      <c r="AM12" s="72">
        <v>100</v>
      </c>
      <c r="AN12" s="72">
        <v>100</v>
      </c>
      <c r="AO12" s="72">
        <v>100</v>
      </c>
      <c r="AP12" s="72">
        <v>98.9</v>
      </c>
      <c r="AQ12" s="72">
        <v>98.8</v>
      </c>
      <c r="AR12" s="72">
        <v>97.81</v>
      </c>
      <c r="AS12" s="72">
        <v>97.15</v>
      </c>
      <c r="AT12" s="72">
        <v>96.86</v>
      </c>
    </row>
    <row r="13" spans="1:46">
      <c r="A13" s="9" t="s">
        <v>363</v>
      </c>
      <c r="B13" s="73" t="s">
        <v>149</v>
      </c>
      <c r="C13" s="73" t="s">
        <v>149</v>
      </c>
      <c r="D13" s="73" t="s">
        <v>149</v>
      </c>
      <c r="E13" s="73" t="s">
        <v>149</v>
      </c>
      <c r="F13" s="73" t="s">
        <v>149</v>
      </c>
      <c r="G13" s="73" t="s">
        <v>149</v>
      </c>
      <c r="H13" s="73" t="s">
        <v>149</v>
      </c>
      <c r="I13" s="73" t="s">
        <v>149</v>
      </c>
      <c r="J13" s="73" t="s">
        <v>149</v>
      </c>
      <c r="K13" s="73" t="s">
        <v>149</v>
      </c>
      <c r="L13" s="73" t="s">
        <v>149</v>
      </c>
      <c r="M13" s="73">
        <v>3</v>
      </c>
      <c r="N13" s="73">
        <v>3</v>
      </c>
      <c r="O13" s="73">
        <v>3</v>
      </c>
      <c r="P13" s="73" t="s">
        <v>149</v>
      </c>
      <c r="Q13" s="73">
        <v>3</v>
      </c>
      <c r="R13" s="73" t="s">
        <v>149</v>
      </c>
      <c r="S13" s="73" t="s">
        <v>149</v>
      </c>
      <c r="T13" s="73">
        <v>3</v>
      </c>
      <c r="U13" s="73">
        <v>3</v>
      </c>
      <c r="V13" s="73">
        <v>3</v>
      </c>
      <c r="W13" s="73">
        <v>3</v>
      </c>
      <c r="X13" s="73"/>
      <c r="Y13" s="73" t="s">
        <v>149</v>
      </c>
      <c r="Z13" s="73" t="s">
        <v>149</v>
      </c>
      <c r="AA13" s="73" t="s">
        <v>149</v>
      </c>
      <c r="AB13" s="73" t="s">
        <v>149</v>
      </c>
      <c r="AC13" s="73" t="s">
        <v>149</v>
      </c>
      <c r="AD13" s="73" t="s">
        <v>149</v>
      </c>
      <c r="AE13" s="73" t="s">
        <v>149</v>
      </c>
      <c r="AF13" s="73" t="s">
        <v>149</v>
      </c>
      <c r="AG13" s="73" t="s">
        <v>149</v>
      </c>
      <c r="AH13" s="73" t="s">
        <v>149</v>
      </c>
      <c r="AI13" s="73" t="s">
        <v>149</v>
      </c>
      <c r="AJ13" s="72">
        <v>71.599999999999994</v>
      </c>
      <c r="AK13" s="72">
        <v>70.900000000000006</v>
      </c>
      <c r="AL13" s="72">
        <v>70.400000000000006</v>
      </c>
      <c r="AM13" s="73" t="s">
        <v>149</v>
      </c>
      <c r="AN13" s="72">
        <v>69.099999999999994</v>
      </c>
      <c r="AO13" s="73" t="s">
        <v>149</v>
      </c>
      <c r="AP13" s="73" t="s">
        <v>149</v>
      </c>
      <c r="AQ13" s="73" t="s">
        <v>149</v>
      </c>
      <c r="AR13" s="73" t="s">
        <v>149</v>
      </c>
      <c r="AS13" s="73" t="s">
        <v>149</v>
      </c>
      <c r="AT13" s="73" t="s">
        <v>149</v>
      </c>
    </row>
    <row r="14" spans="1:46">
      <c r="A14" s="9" t="s">
        <v>8</v>
      </c>
      <c r="B14" s="73">
        <v>4</v>
      </c>
      <c r="C14" s="73">
        <v>4</v>
      </c>
      <c r="D14" s="73">
        <v>5</v>
      </c>
      <c r="E14" s="73">
        <v>4</v>
      </c>
      <c r="F14" s="73">
        <v>4</v>
      </c>
      <c r="G14" s="73">
        <v>4</v>
      </c>
      <c r="H14" s="73">
        <v>4</v>
      </c>
      <c r="I14" s="73">
        <v>4</v>
      </c>
      <c r="J14" s="73">
        <v>4</v>
      </c>
      <c r="K14" s="73">
        <v>4</v>
      </c>
      <c r="L14" s="73">
        <v>4</v>
      </c>
      <c r="M14" s="73">
        <v>4</v>
      </c>
      <c r="N14" s="73">
        <v>4</v>
      </c>
      <c r="O14" s="73">
        <v>4</v>
      </c>
      <c r="P14" s="73">
        <v>4</v>
      </c>
      <c r="Q14" s="73">
        <v>4</v>
      </c>
      <c r="R14" s="73">
        <v>4</v>
      </c>
      <c r="S14" s="73">
        <v>4</v>
      </c>
      <c r="T14" s="73">
        <v>4</v>
      </c>
      <c r="U14" s="73">
        <v>4</v>
      </c>
      <c r="V14" s="372">
        <v>4</v>
      </c>
      <c r="W14" s="372">
        <v>4</v>
      </c>
      <c r="X14" s="73"/>
      <c r="Y14" s="146">
        <v>58.837844208751065</v>
      </c>
      <c r="Z14" s="146">
        <v>58.505822670254524</v>
      </c>
      <c r="AA14" s="146">
        <v>56.221653135363006</v>
      </c>
      <c r="AB14" s="146">
        <v>62.617422656719043</v>
      </c>
      <c r="AC14" s="146">
        <v>63.301010124322929</v>
      </c>
      <c r="AD14" s="146">
        <v>61.962181023517516</v>
      </c>
      <c r="AE14" s="168">
        <v>61.895598578743794</v>
      </c>
      <c r="AF14" s="148">
        <v>61.396475756248456</v>
      </c>
      <c r="AG14" s="72">
        <v>61.383639236925781</v>
      </c>
      <c r="AH14" s="72">
        <v>73.221068391031991</v>
      </c>
      <c r="AI14" s="72">
        <v>73.031826145599638</v>
      </c>
      <c r="AJ14" s="72">
        <v>72.099999999999994</v>
      </c>
      <c r="AK14" s="72">
        <v>71.641852721897919</v>
      </c>
      <c r="AL14" s="72">
        <v>70.887736248785842</v>
      </c>
      <c r="AM14" s="72">
        <v>69.683084762188102</v>
      </c>
      <c r="AN14" s="72">
        <v>68.414842981720795</v>
      </c>
      <c r="AO14" s="72">
        <v>66.920718336402118</v>
      </c>
      <c r="AP14" s="72">
        <v>66.59899205585856</v>
      </c>
      <c r="AQ14" s="72">
        <v>66.575585898314174</v>
      </c>
      <c r="AR14" s="72">
        <v>66.254858163127466</v>
      </c>
      <c r="AS14" s="72">
        <v>65.257018181040237</v>
      </c>
      <c r="AT14" s="72">
        <v>63.293430739165679</v>
      </c>
    </row>
    <row r="15" spans="1:46">
      <c r="A15" s="9" t="s">
        <v>82</v>
      </c>
      <c r="B15" s="73">
        <v>9</v>
      </c>
      <c r="C15" s="73">
        <v>7</v>
      </c>
      <c r="D15" s="73">
        <v>7</v>
      </c>
      <c r="E15" s="73">
        <v>5</v>
      </c>
      <c r="F15" s="73">
        <v>5</v>
      </c>
      <c r="G15" s="73">
        <v>5</v>
      </c>
      <c r="H15" s="73">
        <v>5</v>
      </c>
      <c r="I15" s="73">
        <v>5</v>
      </c>
      <c r="J15" s="73">
        <v>5</v>
      </c>
      <c r="K15" s="73">
        <v>5</v>
      </c>
      <c r="L15" s="73">
        <v>5</v>
      </c>
      <c r="M15" s="73">
        <v>5</v>
      </c>
      <c r="N15" s="73">
        <v>6</v>
      </c>
      <c r="O15" s="71">
        <v>7</v>
      </c>
      <c r="P15" s="71">
        <v>7</v>
      </c>
      <c r="Q15" s="71">
        <v>7</v>
      </c>
      <c r="R15" s="71">
        <v>7</v>
      </c>
      <c r="S15" s="71">
        <v>7</v>
      </c>
      <c r="T15" s="71">
        <v>7</v>
      </c>
      <c r="U15" s="71">
        <v>7</v>
      </c>
      <c r="V15" s="71">
        <v>7</v>
      </c>
      <c r="W15" s="71">
        <v>7</v>
      </c>
      <c r="X15" s="71"/>
      <c r="Y15" s="146">
        <v>55.690482018837095</v>
      </c>
      <c r="Z15" s="146">
        <v>60.223992701570864</v>
      </c>
      <c r="AA15" s="146">
        <v>59.93427588509045</v>
      </c>
      <c r="AB15" s="146">
        <v>60.957611042681734</v>
      </c>
      <c r="AC15" s="146">
        <v>60.850056786666471</v>
      </c>
      <c r="AD15" s="146">
        <v>60.384558521005928</v>
      </c>
      <c r="AE15" s="168">
        <v>61.181302817846074</v>
      </c>
      <c r="AF15" s="72">
        <v>60.300575637861343</v>
      </c>
      <c r="AG15" s="72">
        <v>60.904999782022962</v>
      </c>
      <c r="AH15" s="72">
        <v>61.208330739898784</v>
      </c>
      <c r="AI15" s="72">
        <v>60.897898833747718</v>
      </c>
      <c r="AJ15" s="72">
        <v>60.76</v>
      </c>
      <c r="AK15" s="72">
        <v>59.990175475230025</v>
      </c>
      <c r="AL15" s="72">
        <v>59.106415671784752</v>
      </c>
      <c r="AM15" s="72">
        <v>58.890271167811918</v>
      </c>
      <c r="AN15" s="72">
        <v>58.412308238193312</v>
      </c>
      <c r="AO15" s="72">
        <v>58.603866064423414</v>
      </c>
      <c r="AP15" s="72">
        <v>58.568630710578503</v>
      </c>
      <c r="AQ15" s="72">
        <v>58.448844698973502</v>
      </c>
      <c r="AR15" s="72">
        <v>58.105312846168701</v>
      </c>
      <c r="AS15" s="72">
        <v>57.233342447115497</v>
      </c>
      <c r="AT15" s="72">
        <v>57.088514147491601</v>
      </c>
    </row>
    <row r="16" spans="1:46">
      <c r="A16" s="9" t="s">
        <v>9</v>
      </c>
      <c r="B16" s="73">
        <v>4</v>
      </c>
      <c r="C16" s="73">
        <v>4</v>
      </c>
      <c r="D16" s="73">
        <v>4</v>
      </c>
      <c r="E16" s="73">
        <v>4</v>
      </c>
      <c r="F16" s="73">
        <v>4</v>
      </c>
      <c r="G16" s="73">
        <v>4</v>
      </c>
      <c r="H16" s="73">
        <v>4</v>
      </c>
      <c r="I16" s="73"/>
      <c r="J16" s="73">
        <v>4</v>
      </c>
      <c r="K16" s="73">
        <v>4</v>
      </c>
      <c r="L16" s="73">
        <v>4</v>
      </c>
      <c r="M16" s="73">
        <v>4</v>
      </c>
      <c r="N16" s="73">
        <v>4</v>
      </c>
      <c r="O16" s="73">
        <v>4</v>
      </c>
      <c r="P16" s="73">
        <v>4</v>
      </c>
      <c r="Q16" s="73">
        <v>4</v>
      </c>
      <c r="R16" s="73">
        <v>4</v>
      </c>
      <c r="S16" s="73">
        <v>4</v>
      </c>
      <c r="T16" s="73">
        <v>4</v>
      </c>
      <c r="U16" s="73">
        <v>4</v>
      </c>
      <c r="V16" s="73">
        <v>4</v>
      </c>
      <c r="W16" s="73">
        <v>4</v>
      </c>
      <c r="X16" s="71"/>
      <c r="Y16" s="146">
        <v>74.445589156753613</v>
      </c>
      <c r="Z16" s="146">
        <v>74.237713959369927</v>
      </c>
      <c r="AA16" s="146">
        <v>74.195682126688055</v>
      </c>
      <c r="AB16" s="146">
        <v>74.068054433181004</v>
      </c>
      <c r="AC16" s="146">
        <v>74.064381138494781</v>
      </c>
      <c r="AD16" s="146">
        <v>74.593896658563622</v>
      </c>
      <c r="AE16" s="168">
        <v>74.762446032454292</v>
      </c>
      <c r="AG16" s="72">
        <v>74.69</v>
      </c>
      <c r="AH16" s="72">
        <v>74.400000000000006</v>
      </c>
      <c r="AI16" s="72">
        <v>74.448653273439234</v>
      </c>
      <c r="AJ16" s="72">
        <v>74.053269103220572</v>
      </c>
      <c r="AK16" s="72">
        <v>74.555422966209733</v>
      </c>
      <c r="AL16" s="72">
        <v>74.790000000000006</v>
      </c>
      <c r="AM16" s="72">
        <v>74.426296909095299</v>
      </c>
      <c r="AN16" s="72">
        <v>73.98</v>
      </c>
      <c r="AO16" s="72">
        <v>73.671651028070102</v>
      </c>
      <c r="AP16" s="72">
        <v>73.379630575984805</v>
      </c>
      <c r="AQ16" s="72">
        <v>73.291649327081032</v>
      </c>
      <c r="AR16" s="72">
        <v>73.287325771584875</v>
      </c>
      <c r="AS16" s="72">
        <v>73.253291111667977</v>
      </c>
      <c r="AT16" s="72">
        <v>73.099573510073597</v>
      </c>
    </row>
    <row r="17" spans="1:46">
      <c r="A17" s="9"/>
      <c r="B17" s="170"/>
      <c r="C17" s="170"/>
      <c r="D17" s="170"/>
      <c r="E17" s="170"/>
      <c r="F17" s="170"/>
      <c r="Q17" s="73"/>
      <c r="R17" s="73"/>
      <c r="S17" s="73"/>
      <c r="T17" s="73"/>
      <c r="U17" s="73"/>
      <c r="V17" s="73"/>
      <c r="W17" s="73"/>
      <c r="X17" s="171"/>
      <c r="Y17" s="72"/>
      <c r="Z17" s="72"/>
      <c r="AA17" s="72"/>
      <c r="AB17" s="72"/>
      <c r="AC17" s="72"/>
      <c r="AD17" s="146"/>
      <c r="AE17" s="169"/>
    </row>
    <row r="18" spans="1:46" ht="20.100000000000001" customHeight="1">
      <c r="A18" s="85" t="s">
        <v>35</v>
      </c>
      <c r="B18" s="172">
        <f>SUM(B6:B16)/10</f>
        <v>5.4</v>
      </c>
      <c r="C18" s="172">
        <f>SUM(C6:C16)/10</f>
        <v>5.4</v>
      </c>
      <c r="D18" s="172">
        <f>SUM(D6:D16)/10</f>
        <v>5.7</v>
      </c>
      <c r="E18" s="172">
        <f>SUM(E6:E16)/10</f>
        <v>5.8</v>
      </c>
      <c r="F18" s="172">
        <f>SUM(F6:F16)/9</f>
        <v>6</v>
      </c>
      <c r="G18" s="172">
        <f>SUM(G6:G16)/10</f>
        <v>5.2</v>
      </c>
      <c r="H18" s="172">
        <f>SUM(H6:H16)/9</f>
        <v>5.5555555555555554</v>
      </c>
      <c r="I18" s="172">
        <f>SUM(I7:I16)/7</f>
        <v>5.4285714285714288</v>
      </c>
      <c r="J18" s="172">
        <f>SUM(J7:J16)/8</f>
        <v>5.75</v>
      </c>
      <c r="K18" s="172">
        <f>SUM(K7:K16)/8</f>
        <v>5.5</v>
      </c>
      <c r="L18" s="172">
        <f>SUM(L7:L16)/7</f>
        <v>6</v>
      </c>
      <c r="M18" s="172">
        <f>SUM(M7:M16)/7</f>
        <v>6.7142857142857144</v>
      </c>
      <c r="N18" s="172">
        <f>SUM(N7:N16)/7</f>
        <v>6.8571428571428568</v>
      </c>
      <c r="O18" s="172"/>
      <c r="P18" s="172"/>
      <c r="Q18" s="172"/>
      <c r="R18" s="172"/>
      <c r="S18" s="172"/>
      <c r="T18" s="172"/>
      <c r="U18" s="172"/>
      <c r="V18" s="172"/>
      <c r="W18" s="172"/>
      <c r="X18" s="12"/>
      <c r="Y18" s="173">
        <v>51.143477172404936</v>
      </c>
      <c r="Z18" s="173">
        <v>50.269219527914466</v>
      </c>
      <c r="AA18" s="173">
        <v>48.74075730362928</v>
      </c>
      <c r="AB18" s="173">
        <v>48.903584261923164</v>
      </c>
      <c r="AC18" s="173">
        <v>49.184674833172544</v>
      </c>
      <c r="AD18" s="173">
        <v>61.764675501909352</v>
      </c>
      <c r="AE18" s="173">
        <v>62.625353353252144</v>
      </c>
      <c r="AF18" s="173">
        <v>62.625353353252144</v>
      </c>
      <c r="AG18" s="173">
        <v>62.625353353252144</v>
      </c>
      <c r="AH18" s="173">
        <v>62.625353353252144</v>
      </c>
      <c r="AI18" s="173">
        <v>62.625353353252144</v>
      </c>
      <c r="AJ18" s="173">
        <v>62.625353353252144</v>
      </c>
      <c r="AK18" s="173">
        <v>62.625353353252144</v>
      </c>
      <c r="AL18" s="173"/>
      <c r="AM18" s="508"/>
      <c r="AN18" s="508"/>
      <c r="AO18" s="508"/>
      <c r="AP18" s="508"/>
      <c r="AQ18" s="508"/>
      <c r="AR18" s="508"/>
      <c r="AS18" s="508"/>
      <c r="AT18" s="508"/>
    </row>
    <row r="19" spans="1:46">
      <c r="A19" s="164"/>
      <c r="B19" s="174"/>
      <c r="C19" s="174"/>
      <c r="D19" s="174"/>
      <c r="E19" s="174"/>
      <c r="F19" s="174"/>
      <c r="G19" s="174"/>
      <c r="H19" s="174"/>
      <c r="I19" s="174"/>
      <c r="J19" s="174"/>
      <c r="K19" s="174"/>
      <c r="L19" s="174"/>
      <c r="M19" s="174"/>
      <c r="N19" s="174"/>
      <c r="O19" s="174"/>
      <c r="P19" s="174"/>
      <c r="Q19" s="174"/>
      <c r="R19" s="174"/>
      <c r="S19" s="174"/>
      <c r="T19" s="174"/>
      <c r="U19" s="174"/>
      <c r="V19" s="174"/>
      <c r="W19" s="174"/>
      <c r="X19" s="174"/>
      <c r="Y19" s="174"/>
      <c r="Z19" s="174"/>
      <c r="AA19" s="174"/>
      <c r="AB19" s="174"/>
      <c r="AC19" s="174"/>
      <c r="AD19" s="174"/>
    </row>
    <row r="20" spans="1:46">
      <c r="A20" s="29"/>
    </row>
    <row r="21" spans="1:46">
      <c r="A21" s="29"/>
    </row>
    <row r="23" spans="1:46">
      <c r="A23" s="29"/>
    </row>
  </sheetData>
  <mergeCells count="3">
    <mergeCell ref="A4:A5"/>
    <mergeCell ref="B4:W4"/>
    <mergeCell ref="Y4:AT4"/>
  </mergeCells>
  <phoneticPr fontId="9" type="noConversion"/>
  <pageMargins left="0.25" right="0.25" top="0.75" bottom="0.75" header="0.3" footer="0.3"/>
  <pageSetup scale="78" orientation="landscape" r:id="rId1"/>
  <headerFooter alignWithMargins="0">
    <oddHeader>&amp;A</oddHeader>
    <oddFooter>&amp;L&amp;F&amp;R&amp;D</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G272"/>
  <sheetViews>
    <sheetView showGridLines="0" zoomScale="90" zoomScaleNormal="90" workbookViewId="0"/>
  </sheetViews>
  <sheetFormatPr baseColWidth="10" defaultRowHeight="15"/>
  <cols>
    <col min="1" max="3" width="12.625" style="75" customWidth="1"/>
    <col min="4" max="4" width="13.75" style="75" customWidth="1"/>
    <col min="5" max="16384" width="11" style="13"/>
  </cols>
  <sheetData>
    <row r="1" spans="1:7" ht="15.75" customHeight="1">
      <c r="A1" s="12" t="s">
        <v>319</v>
      </c>
      <c r="B1" s="187"/>
      <c r="C1" s="187"/>
      <c r="D1" s="187"/>
    </row>
    <row r="2" spans="1:7" ht="15.75" customHeight="1">
      <c r="A2" s="12" t="s">
        <v>191</v>
      </c>
      <c r="B2" s="187"/>
      <c r="C2" s="187"/>
      <c r="D2" s="187"/>
    </row>
    <row r="3" spans="1:7">
      <c r="A3" s="10" t="s">
        <v>49</v>
      </c>
      <c r="B3" s="187"/>
      <c r="C3" s="187"/>
      <c r="D3" s="187"/>
    </row>
    <row r="4" spans="1:7" ht="9.75" customHeight="1">
      <c r="A4" s="12"/>
    </row>
    <row r="5" spans="1:7" s="76" customFormat="1">
      <c r="A5" s="16" t="s">
        <v>0</v>
      </c>
      <c r="B5" s="93" t="s">
        <v>25</v>
      </c>
      <c r="C5" s="93" t="s">
        <v>26</v>
      </c>
      <c r="D5" s="93" t="s">
        <v>27</v>
      </c>
    </row>
    <row r="6" spans="1:7" s="76" customFormat="1" ht="5.0999999999999996" customHeight="1">
      <c r="A6" s="92"/>
      <c r="B6" s="92"/>
      <c r="C6" s="92"/>
      <c r="D6" s="248"/>
    </row>
    <row r="7" spans="1:7" ht="15.75" hidden="1" customHeight="1">
      <c r="A7" s="12" t="s">
        <v>2</v>
      </c>
      <c r="B7" s="249"/>
      <c r="C7" s="249"/>
      <c r="D7" s="249"/>
    </row>
    <row r="8" spans="1:7" ht="15.75" hidden="1" customHeight="1">
      <c r="A8" s="12" t="s">
        <v>3</v>
      </c>
      <c r="B8" s="36"/>
      <c r="C8" s="106"/>
      <c r="D8" s="106"/>
    </row>
    <row r="9" spans="1:7" ht="15.75" customHeight="1">
      <c r="A9" s="12" t="s">
        <v>4</v>
      </c>
      <c r="B9" s="73" t="s">
        <v>192</v>
      </c>
      <c r="C9" s="73" t="s">
        <v>192</v>
      </c>
      <c r="D9" s="73" t="s">
        <v>192</v>
      </c>
    </row>
    <row r="10" spans="1:7" ht="15.75" customHeight="1">
      <c r="A10" s="9" t="s">
        <v>5</v>
      </c>
      <c r="B10" s="73">
        <v>1172.9281512391733</v>
      </c>
      <c r="C10" s="73">
        <v>231.03794423790208</v>
      </c>
      <c r="D10" s="73">
        <v>941.89020700127128</v>
      </c>
      <c r="E10" s="149"/>
      <c r="F10" s="149"/>
      <c r="G10" s="149"/>
    </row>
    <row r="11" spans="1:7" ht="15.75" customHeight="1">
      <c r="A11" s="12" t="s">
        <v>50</v>
      </c>
      <c r="B11" s="73">
        <v>81.55018095014276</v>
      </c>
      <c r="C11" s="73">
        <v>12.483797324682484</v>
      </c>
      <c r="D11" s="73">
        <v>69.066383625460276</v>
      </c>
    </row>
    <row r="12" spans="1:7" ht="15.75" customHeight="1">
      <c r="A12" s="12" t="s">
        <v>6</v>
      </c>
      <c r="B12" s="73">
        <v>65.358414999999994</v>
      </c>
      <c r="C12" s="73">
        <v>13.209068</v>
      </c>
      <c r="D12" s="73">
        <v>52.149346999999985</v>
      </c>
    </row>
    <row r="13" spans="1:7" ht="15.75" customHeight="1">
      <c r="A13" s="12" t="s">
        <v>7</v>
      </c>
      <c r="B13" s="73">
        <v>2620.39218712104</v>
      </c>
      <c r="C13" s="73">
        <v>455.71875702694825</v>
      </c>
      <c r="D13" s="73">
        <v>2164.6734300940916</v>
      </c>
    </row>
    <row r="14" spans="1:7" ht="15.75" customHeight="1">
      <c r="A14" s="12" t="s">
        <v>184</v>
      </c>
      <c r="B14" s="73"/>
      <c r="C14" s="73"/>
      <c r="D14" s="73"/>
    </row>
    <row r="15" spans="1:7" ht="15.75" customHeight="1">
      <c r="A15" s="12" t="s">
        <v>8</v>
      </c>
      <c r="B15" s="73">
        <v>656.79864446422209</v>
      </c>
      <c r="C15" s="73">
        <v>182.74905461018153</v>
      </c>
      <c r="D15" s="73">
        <v>474.04958985404062</v>
      </c>
    </row>
    <row r="16" spans="1:7" ht="15.75" customHeight="1">
      <c r="A16" s="9" t="s">
        <v>82</v>
      </c>
      <c r="B16" s="73">
        <v>134.1347852953065</v>
      </c>
      <c r="C16" s="73">
        <v>24.247153336864056</v>
      </c>
      <c r="D16" s="73">
        <v>109.8877119465963</v>
      </c>
    </row>
    <row r="17" spans="1:7" ht="15.75" customHeight="1">
      <c r="A17" s="12" t="s">
        <v>9</v>
      </c>
      <c r="B17" s="73">
        <v>81.681978550811181</v>
      </c>
      <c r="C17" s="73">
        <v>16.603426395939085</v>
      </c>
      <c r="D17" s="73">
        <v>65.0785522046382</v>
      </c>
      <c r="G17" s="11"/>
    </row>
    <row r="18" spans="1:7" ht="5.0999999999999996" customHeight="1">
      <c r="A18" s="10"/>
      <c r="B18" s="73"/>
      <c r="C18" s="73"/>
      <c r="D18" s="73"/>
    </row>
    <row r="19" spans="1:7">
      <c r="A19" s="22" t="s">
        <v>10</v>
      </c>
      <c r="B19" s="570">
        <f>+SUM(B10:B17)</f>
        <v>4812.8443426206959</v>
      </c>
      <c r="C19" s="570">
        <f>+SUM(C10:C17)</f>
        <v>936.04920093251746</v>
      </c>
      <c r="D19" s="570">
        <f>+SUM(D10:D17)</f>
        <v>3876.7952217260981</v>
      </c>
    </row>
    <row r="20" spans="1:7" s="76" customFormat="1" ht="15" customHeight="1">
      <c r="A20" s="92"/>
      <c r="B20" s="92"/>
      <c r="C20" s="92"/>
      <c r="D20" s="92"/>
    </row>
    <row r="21" spans="1:7" ht="15" customHeight="1"/>
    <row r="22" spans="1:7">
      <c r="A22" s="12" t="s">
        <v>229</v>
      </c>
    </row>
    <row r="23" spans="1:7">
      <c r="A23" s="10" t="s">
        <v>49</v>
      </c>
    </row>
    <row r="24" spans="1:7">
      <c r="A24" s="16" t="s">
        <v>0</v>
      </c>
      <c r="B24" s="93" t="s">
        <v>25</v>
      </c>
      <c r="C24" s="93" t="s">
        <v>26</v>
      </c>
      <c r="D24" s="93" t="s">
        <v>27</v>
      </c>
    </row>
    <row r="25" spans="1:7" ht="8.1" customHeight="1">
      <c r="A25" s="92"/>
      <c r="B25" s="92"/>
      <c r="C25" s="92"/>
      <c r="D25" s="248"/>
    </row>
    <row r="26" spans="1:7" hidden="1">
      <c r="A26" s="12" t="s">
        <v>2</v>
      </c>
      <c r="B26" s="249"/>
      <c r="C26" s="249"/>
      <c r="D26" s="249"/>
    </row>
    <row r="27" spans="1:7" hidden="1">
      <c r="A27" s="12" t="s">
        <v>3</v>
      </c>
      <c r="B27" s="36"/>
      <c r="C27" s="106"/>
      <c r="D27" s="106"/>
    </row>
    <row r="28" spans="1:7">
      <c r="A28" s="12" t="s">
        <v>4</v>
      </c>
      <c r="B28" s="73">
        <v>1288</v>
      </c>
      <c r="C28" s="73">
        <v>223</v>
      </c>
      <c r="D28" s="72">
        <v>1064</v>
      </c>
    </row>
    <row r="29" spans="1:7">
      <c r="A29" s="9" t="s">
        <v>5</v>
      </c>
      <c r="B29" s="73">
        <v>1390.7410374773699</v>
      </c>
      <c r="C29" s="73">
        <v>241.013052786439</v>
      </c>
      <c r="D29" s="72">
        <v>1149.7279847012201</v>
      </c>
    </row>
    <row r="30" spans="1:7">
      <c r="A30" s="12" t="s">
        <v>50</v>
      </c>
      <c r="B30" s="73"/>
      <c r="C30" s="73"/>
      <c r="D30" s="488"/>
    </row>
    <row r="31" spans="1:7">
      <c r="A31" s="12" t="s">
        <v>6</v>
      </c>
      <c r="B31" s="73">
        <v>68.44042949</v>
      </c>
      <c r="C31" s="73">
        <v>13.8442355</v>
      </c>
      <c r="D31" s="73">
        <v>54.596193990000003</v>
      </c>
    </row>
    <row r="32" spans="1:7">
      <c r="A32" s="12" t="s">
        <v>7</v>
      </c>
      <c r="B32" s="569">
        <v>2514209492.2789583</v>
      </c>
      <c r="C32" s="569">
        <v>445268210.33654541</v>
      </c>
      <c r="D32" s="569">
        <v>2068941281.9424129</v>
      </c>
    </row>
    <row r="33" spans="1:4">
      <c r="A33" s="12" t="s">
        <v>184</v>
      </c>
      <c r="B33" s="73"/>
      <c r="C33" s="73"/>
      <c r="D33" s="488"/>
    </row>
    <row r="34" spans="1:4">
      <c r="A34" s="12" t="s">
        <v>8</v>
      </c>
      <c r="B34" s="73">
        <v>635.79254338649844</v>
      </c>
      <c r="C34" s="73">
        <v>190.2102762017804</v>
      </c>
      <c r="D34" s="73">
        <v>445.58226718471803</v>
      </c>
    </row>
    <row r="35" spans="1:4">
      <c r="A35" s="9" t="s">
        <v>82</v>
      </c>
      <c r="B35" s="569">
        <v>102015427.61864111</v>
      </c>
      <c r="C35" s="569">
        <v>17767510.396933988</v>
      </c>
      <c r="D35" s="567">
        <v>133331643.68917392</v>
      </c>
    </row>
    <row r="36" spans="1:4">
      <c r="A36" s="12" t="s">
        <v>9</v>
      </c>
      <c r="B36" s="488"/>
      <c r="C36" s="488"/>
      <c r="D36" s="488"/>
    </row>
    <row r="37" spans="1:4" ht="8.1" customHeight="1">
      <c r="A37" s="10"/>
      <c r="B37" s="250"/>
      <c r="C37" s="250"/>
      <c r="D37" s="250"/>
    </row>
    <row r="38" spans="1:4">
      <c r="A38" s="22" t="s">
        <v>10</v>
      </c>
      <c r="B38" s="251"/>
      <c r="C38" s="251"/>
      <c r="D38" s="251"/>
    </row>
    <row r="41" spans="1:4">
      <c r="A41" s="12" t="s">
        <v>230</v>
      </c>
    </row>
    <row r="42" spans="1:4">
      <c r="A42" s="10" t="s">
        <v>49</v>
      </c>
    </row>
    <row r="43" spans="1:4">
      <c r="A43" s="16" t="s">
        <v>0</v>
      </c>
      <c r="B43" s="93" t="s">
        <v>25</v>
      </c>
      <c r="C43" s="93" t="s">
        <v>26</v>
      </c>
      <c r="D43" s="93" t="s">
        <v>27</v>
      </c>
    </row>
    <row r="44" spans="1:4" ht="8.1" customHeight="1">
      <c r="A44" s="92"/>
      <c r="B44" s="92"/>
      <c r="C44" s="92"/>
      <c r="D44" s="248"/>
    </row>
    <row r="45" spans="1:4" hidden="1">
      <c r="A45" s="12" t="s">
        <v>2</v>
      </c>
      <c r="B45" s="249"/>
      <c r="C45" s="249"/>
      <c r="D45" s="249"/>
    </row>
    <row r="46" spans="1:4" hidden="1">
      <c r="A46" s="12" t="s">
        <v>3</v>
      </c>
      <c r="B46" s="36"/>
      <c r="C46" s="106"/>
      <c r="D46" s="106"/>
    </row>
    <row r="47" spans="1:4">
      <c r="A47" s="12" t="s">
        <v>4</v>
      </c>
      <c r="B47" s="73">
        <v>2890</v>
      </c>
      <c r="C47" s="73">
        <v>661</v>
      </c>
      <c r="D47" s="73">
        <v>2092</v>
      </c>
    </row>
    <row r="48" spans="1:4">
      <c r="A48" s="9" t="s">
        <v>5</v>
      </c>
      <c r="B48" s="73">
        <v>1677.09429458471</v>
      </c>
      <c r="C48" s="73">
        <v>242.147694695469</v>
      </c>
      <c r="D48" s="72">
        <v>1434.9465998947501</v>
      </c>
    </row>
    <row r="49" spans="1:4">
      <c r="A49" s="12" t="s">
        <v>50</v>
      </c>
      <c r="B49" s="489">
        <v>99.083486633357893</v>
      </c>
      <c r="C49" s="489">
        <v>29.327022059414027</v>
      </c>
      <c r="D49" s="489">
        <f>+B49-C49</f>
        <v>69.756464573943873</v>
      </c>
    </row>
    <row r="50" spans="1:4">
      <c r="A50" s="12" t="s">
        <v>6</v>
      </c>
      <c r="B50" s="73">
        <v>61.626543689999998</v>
      </c>
      <c r="C50" s="73">
        <v>13.86786614</v>
      </c>
      <c r="D50" s="73">
        <v>47.758677550000002</v>
      </c>
    </row>
    <row r="51" spans="1:4">
      <c r="A51" s="12" t="s">
        <v>7</v>
      </c>
      <c r="B51" s="569">
        <v>3395957105.158957</v>
      </c>
      <c r="C51" s="569">
        <v>549408548.02403247</v>
      </c>
      <c r="D51" s="569">
        <v>2846548557.1349239</v>
      </c>
    </row>
    <row r="52" spans="1:4">
      <c r="A52" s="12" t="s">
        <v>184</v>
      </c>
      <c r="B52" s="73"/>
      <c r="C52" s="73"/>
      <c r="D52" s="73"/>
    </row>
    <row r="53" spans="1:4">
      <c r="A53" s="12" t="s">
        <v>8</v>
      </c>
      <c r="B53" s="73">
        <v>810.21550352295026</v>
      </c>
      <c r="C53" s="73">
        <v>261.44556522165556</v>
      </c>
      <c r="D53" s="73">
        <v>548.7699383012947</v>
      </c>
    </row>
    <row r="54" spans="1:4">
      <c r="A54" s="9" t="s">
        <v>82</v>
      </c>
      <c r="B54" s="569">
        <v>202435503.80061963</v>
      </c>
      <c r="C54" s="569">
        <v>36307221.239333026</v>
      </c>
      <c r="D54" s="567">
        <v>166128282.58608267</v>
      </c>
    </row>
    <row r="55" spans="1:4">
      <c r="A55" s="12" t="s">
        <v>9</v>
      </c>
      <c r="B55" s="106"/>
      <c r="C55" s="106"/>
      <c r="D55" s="106"/>
    </row>
    <row r="56" spans="1:4" ht="8.1" customHeight="1">
      <c r="A56" s="10"/>
      <c r="B56" s="250"/>
      <c r="C56" s="250"/>
      <c r="D56" s="250"/>
    </row>
    <row r="57" spans="1:4">
      <c r="A57" s="22" t="s">
        <v>10</v>
      </c>
      <c r="B57" s="251"/>
      <c r="C57" s="251"/>
      <c r="D57" s="251"/>
    </row>
    <row r="60" spans="1:4">
      <c r="A60" s="12" t="s">
        <v>231</v>
      </c>
    </row>
    <row r="61" spans="1:4">
      <c r="A61" s="10" t="s">
        <v>49</v>
      </c>
    </row>
    <row r="62" spans="1:4">
      <c r="A62" s="16" t="s">
        <v>0</v>
      </c>
      <c r="B62" s="93" t="s">
        <v>25</v>
      </c>
      <c r="C62" s="93" t="s">
        <v>26</v>
      </c>
      <c r="D62" s="93" t="s">
        <v>27</v>
      </c>
    </row>
    <row r="63" spans="1:4" ht="8.1" customHeight="1">
      <c r="A63" s="92"/>
      <c r="B63" s="18"/>
      <c r="C63" s="18"/>
      <c r="D63" s="449"/>
    </row>
    <row r="64" spans="1:4" hidden="1">
      <c r="A64" s="12" t="s">
        <v>2</v>
      </c>
      <c r="B64" s="567"/>
      <c r="C64" s="567"/>
      <c r="D64" s="567"/>
    </row>
    <row r="65" spans="1:4" hidden="1">
      <c r="A65" s="12" t="s">
        <v>3</v>
      </c>
      <c r="B65" s="72"/>
      <c r="C65" s="73"/>
      <c r="D65" s="73"/>
    </row>
    <row r="66" spans="1:4">
      <c r="A66" s="12" t="s">
        <v>4</v>
      </c>
      <c r="B66" s="73">
        <v>2714</v>
      </c>
      <c r="C66" s="73">
        <v>641</v>
      </c>
      <c r="D66" s="73">
        <v>2154</v>
      </c>
    </row>
    <row r="67" spans="1:4">
      <c r="A67" s="9" t="s">
        <v>5</v>
      </c>
      <c r="B67" s="73">
        <v>1748.44305079327</v>
      </c>
      <c r="C67" s="73">
        <v>414.68052380853499</v>
      </c>
      <c r="D67" s="72">
        <v>1333.7625269899299</v>
      </c>
    </row>
    <row r="68" spans="1:4">
      <c r="A68" s="12" t="s">
        <v>50</v>
      </c>
      <c r="B68" s="489">
        <v>106.28095449029313</v>
      </c>
      <c r="C68" s="489">
        <v>22.394804769257185</v>
      </c>
      <c r="D68" s="489">
        <f>+B68-C68</f>
        <v>83.886149721035935</v>
      </c>
    </row>
    <row r="69" spans="1:4">
      <c r="A69" s="12" t="s">
        <v>6</v>
      </c>
      <c r="B69" s="73">
        <v>59.06180707</v>
      </c>
      <c r="C69" s="73">
        <v>11.95231253</v>
      </c>
      <c r="D69" s="73">
        <v>47.10949454</v>
      </c>
    </row>
    <row r="70" spans="1:4">
      <c r="A70" s="12" t="s">
        <v>7</v>
      </c>
      <c r="B70" s="569">
        <v>4423501488.042922</v>
      </c>
      <c r="C70" s="569">
        <v>516082128.05881852</v>
      </c>
      <c r="D70" s="569">
        <v>3907419359.9474177</v>
      </c>
    </row>
    <row r="71" spans="1:4">
      <c r="A71" s="12" t="s">
        <v>184</v>
      </c>
      <c r="B71" s="73"/>
      <c r="C71" s="73"/>
      <c r="D71" s="73"/>
    </row>
    <row r="72" spans="1:4">
      <c r="A72" s="12" t="s">
        <v>8</v>
      </c>
      <c r="B72" s="73">
        <v>1171.1204990805008</v>
      </c>
      <c r="C72" s="73">
        <v>279.01983637209304</v>
      </c>
      <c r="D72" s="73">
        <v>892.10066270840798</v>
      </c>
    </row>
    <row r="73" spans="1:4">
      <c r="A73" s="9" t="s">
        <v>82</v>
      </c>
      <c r="B73" s="569">
        <v>231452753.75749597</v>
      </c>
      <c r="C73" s="569">
        <v>44870071.879479304</v>
      </c>
      <c r="D73" s="567">
        <v>186582681.87801665</v>
      </c>
    </row>
    <row r="74" spans="1:4">
      <c r="A74" s="12" t="s">
        <v>9</v>
      </c>
      <c r="B74" s="73"/>
      <c r="C74" s="73"/>
      <c r="D74" s="73"/>
    </row>
    <row r="75" spans="1:4" ht="8.1" customHeight="1">
      <c r="A75" s="10"/>
      <c r="B75" s="250"/>
      <c r="C75" s="250"/>
      <c r="D75" s="250"/>
    </row>
    <row r="76" spans="1:4">
      <c r="A76" s="22" t="s">
        <v>10</v>
      </c>
      <c r="B76" s="251"/>
      <c r="C76" s="251"/>
      <c r="D76" s="251"/>
    </row>
    <row r="79" spans="1:4">
      <c r="A79" s="12" t="s">
        <v>232</v>
      </c>
    </row>
    <row r="80" spans="1:4">
      <c r="A80" s="10" t="s">
        <v>49</v>
      </c>
    </row>
    <row r="81" spans="1:4">
      <c r="A81" s="16" t="s">
        <v>0</v>
      </c>
      <c r="B81" s="93" t="s">
        <v>25</v>
      </c>
      <c r="C81" s="93" t="s">
        <v>26</v>
      </c>
      <c r="D81" s="93" t="s">
        <v>27</v>
      </c>
    </row>
    <row r="82" spans="1:4" ht="8.1" customHeight="1">
      <c r="A82" s="92"/>
      <c r="B82" s="18"/>
      <c r="C82" s="18"/>
      <c r="D82" s="449"/>
    </row>
    <row r="83" spans="1:4" hidden="1">
      <c r="A83" s="12" t="s">
        <v>2</v>
      </c>
      <c r="B83" s="567"/>
      <c r="C83" s="567"/>
      <c r="D83" s="567"/>
    </row>
    <row r="84" spans="1:4" hidden="1">
      <c r="A84" s="12" t="s">
        <v>3</v>
      </c>
      <c r="B84" s="72"/>
      <c r="C84" s="73"/>
      <c r="D84" s="73"/>
    </row>
    <row r="85" spans="1:4">
      <c r="A85" s="12" t="s">
        <v>4</v>
      </c>
      <c r="B85" s="73">
        <v>2477</v>
      </c>
      <c r="C85" s="73">
        <v>551</v>
      </c>
      <c r="D85" s="73">
        <v>2124</v>
      </c>
    </row>
    <row r="86" spans="1:4">
      <c r="A86" s="9" t="s">
        <v>5</v>
      </c>
      <c r="B86" s="73">
        <v>1632.1498617657101</v>
      </c>
      <c r="C86" s="73">
        <v>419.45923315750298</v>
      </c>
      <c r="D86" s="72">
        <v>1212.6906286123899</v>
      </c>
    </row>
    <row r="87" spans="1:4">
      <c r="A87" s="12" t="s">
        <v>50</v>
      </c>
      <c r="B87" s="489">
        <v>90.57268299743113</v>
      </c>
      <c r="C87" s="489">
        <v>14.129317786503162</v>
      </c>
      <c r="D87" s="489">
        <f>+B87-C87</f>
        <v>76.443365210927965</v>
      </c>
    </row>
    <row r="88" spans="1:4">
      <c r="A88" s="12" t="s">
        <v>6</v>
      </c>
      <c r="B88" s="73">
        <v>65.578971300000006</v>
      </c>
      <c r="C88" s="73">
        <v>17.08302707</v>
      </c>
      <c r="D88" s="73">
        <v>48.495944229999999</v>
      </c>
    </row>
    <row r="89" spans="1:4">
      <c r="A89" s="12" t="s">
        <v>7</v>
      </c>
      <c r="B89" s="569">
        <v>4101659317.9101038</v>
      </c>
      <c r="C89" s="569">
        <v>460448054.7173267</v>
      </c>
      <c r="D89" s="569">
        <v>3641211263.0930572</v>
      </c>
    </row>
    <row r="90" spans="1:4">
      <c r="A90" s="12" t="s">
        <v>369</v>
      </c>
      <c r="B90" s="73">
        <v>25.6</v>
      </c>
      <c r="C90" s="73">
        <v>2.7</v>
      </c>
      <c r="D90" s="73">
        <v>22.9</v>
      </c>
    </row>
    <row r="91" spans="1:4">
      <c r="A91" s="12" t="s">
        <v>8</v>
      </c>
      <c r="B91" s="73">
        <v>1172.1161303860356</v>
      </c>
      <c r="C91" s="73">
        <v>264.5677530144344</v>
      </c>
      <c r="D91" s="73">
        <v>907.54837737160108</v>
      </c>
    </row>
    <row r="92" spans="1:4">
      <c r="A92" s="9" t="s">
        <v>82</v>
      </c>
      <c r="B92" s="569">
        <v>208024152.79653478</v>
      </c>
      <c r="C92" s="569">
        <v>26117295.132317673</v>
      </c>
      <c r="D92" s="567">
        <v>181906857.66421711</v>
      </c>
    </row>
    <row r="93" spans="1:4">
      <c r="A93" s="12" t="s">
        <v>9</v>
      </c>
      <c r="B93" s="73">
        <v>127</v>
      </c>
      <c r="C93" s="73">
        <v>24</v>
      </c>
      <c r="D93" s="82">
        <v>102.82940964944726</v>
      </c>
    </row>
    <row r="94" spans="1:4" ht="8.1" customHeight="1">
      <c r="A94" s="10"/>
      <c r="B94" s="250"/>
      <c r="C94" s="250"/>
      <c r="D94" s="250"/>
    </row>
    <row r="95" spans="1:4">
      <c r="A95" s="22" t="s">
        <v>10</v>
      </c>
      <c r="B95" s="251"/>
      <c r="C95" s="251"/>
      <c r="D95" s="251"/>
    </row>
    <row r="98" spans="1:4">
      <c r="A98" s="12" t="s">
        <v>358</v>
      </c>
    </row>
    <row r="99" spans="1:4">
      <c r="A99" s="10" t="s">
        <v>49</v>
      </c>
    </row>
    <row r="100" spans="1:4">
      <c r="A100" s="16" t="s">
        <v>0</v>
      </c>
      <c r="B100" s="93" t="s">
        <v>25</v>
      </c>
      <c r="C100" s="93" t="s">
        <v>26</v>
      </c>
      <c r="D100" s="93" t="s">
        <v>27</v>
      </c>
    </row>
    <row r="101" spans="1:4">
      <c r="A101" s="92"/>
      <c r="B101" s="92"/>
      <c r="C101" s="92"/>
      <c r="D101" s="248"/>
    </row>
    <row r="102" spans="1:4" hidden="1">
      <c r="A102" s="12" t="s">
        <v>2</v>
      </c>
      <c r="B102" s="249"/>
      <c r="C102" s="249"/>
      <c r="D102" s="249"/>
    </row>
    <row r="103" spans="1:4" hidden="1">
      <c r="A103" s="12" t="s">
        <v>3</v>
      </c>
      <c r="B103" s="36"/>
      <c r="C103" s="106"/>
      <c r="D103" s="106"/>
    </row>
    <row r="104" spans="1:4">
      <c r="A104" s="12" t="s">
        <v>4</v>
      </c>
      <c r="B104" s="73">
        <v>4321.8417069584639</v>
      </c>
      <c r="C104" s="73">
        <v>490.16439053354821</v>
      </c>
      <c r="D104" s="73">
        <v>3831.6773164249153</v>
      </c>
    </row>
    <row r="105" spans="1:4">
      <c r="A105" s="9" t="s">
        <v>5</v>
      </c>
      <c r="B105" s="73"/>
      <c r="C105" s="73"/>
      <c r="D105" s="72"/>
    </row>
    <row r="106" spans="1:4">
      <c r="A106" s="12" t="s">
        <v>50</v>
      </c>
      <c r="B106" s="489">
        <v>87.588322392187081</v>
      </c>
      <c r="C106" s="489">
        <v>19.375207722412298</v>
      </c>
      <c r="D106" s="489">
        <v>68.213114669774782</v>
      </c>
    </row>
    <row r="107" spans="1:4">
      <c r="A107" s="12" t="s">
        <v>6</v>
      </c>
      <c r="B107" s="73">
        <v>72.430695420000006</v>
      </c>
      <c r="C107" s="73">
        <v>18.80936165</v>
      </c>
      <c r="D107" s="73">
        <v>53.62133377</v>
      </c>
    </row>
    <row r="108" spans="1:4">
      <c r="A108" s="12" t="s">
        <v>7</v>
      </c>
      <c r="B108" s="73">
        <v>3583.9410906653834</v>
      </c>
      <c r="C108" s="73">
        <v>422.97892020210219</v>
      </c>
      <c r="D108" s="73">
        <v>3160.9621704632814</v>
      </c>
    </row>
    <row r="109" spans="1:4">
      <c r="A109" s="12" t="s">
        <v>369</v>
      </c>
      <c r="B109" s="73">
        <v>30</v>
      </c>
      <c r="C109" s="73">
        <v>2</v>
      </c>
      <c r="D109" s="73">
        <v>28</v>
      </c>
    </row>
    <row r="110" spans="1:4">
      <c r="A110" s="12" t="s">
        <v>8</v>
      </c>
      <c r="B110" s="73">
        <v>1099.1999993780887</v>
      </c>
      <c r="C110" s="73">
        <v>242.92353468080785</v>
      </c>
      <c r="D110" s="73">
        <v>856.27646469728074</v>
      </c>
    </row>
    <row r="111" spans="1:4">
      <c r="A111" s="9" t="s">
        <v>82</v>
      </c>
      <c r="B111" s="569">
        <v>208141569.28705224</v>
      </c>
      <c r="C111" s="569">
        <v>18813157.503282119</v>
      </c>
      <c r="D111" s="569">
        <v>189328411.76179779</v>
      </c>
    </row>
    <row r="112" spans="1:4">
      <c r="A112" s="12" t="s">
        <v>9</v>
      </c>
      <c r="B112" s="311">
        <v>111.16400863656143</v>
      </c>
      <c r="C112" s="311">
        <v>19.408675425969939</v>
      </c>
      <c r="D112" s="72">
        <f>+B112-C112</f>
        <v>91.755333210591488</v>
      </c>
    </row>
    <row r="113" spans="1:4">
      <c r="A113" s="10"/>
      <c r="B113" s="250"/>
      <c r="C113" s="250"/>
      <c r="D113" s="250"/>
    </row>
    <row r="114" spans="1:4">
      <c r="A114" s="22" t="s">
        <v>10</v>
      </c>
      <c r="B114" s="251"/>
      <c r="C114" s="251"/>
      <c r="D114" s="251"/>
    </row>
    <row r="117" spans="1:4">
      <c r="A117" s="12" t="s">
        <v>375</v>
      </c>
    </row>
    <row r="118" spans="1:4">
      <c r="A118" s="10" t="s">
        <v>49</v>
      </c>
    </row>
    <row r="119" spans="1:4">
      <c r="A119" s="16" t="s">
        <v>0</v>
      </c>
      <c r="B119" s="93" t="s">
        <v>25</v>
      </c>
      <c r="C119" s="93" t="s">
        <v>26</v>
      </c>
      <c r="D119" s="93" t="s">
        <v>27</v>
      </c>
    </row>
    <row r="120" spans="1:4">
      <c r="A120" s="92"/>
      <c r="B120" s="18"/>
      <c r="C120" s="18"/>
      <c r="D120" s="449"/>
    </row>
    <row r="121" spans="1:4" hidden="1">
      <c r="A121" s="12" t="s">
        <v>2</v>
      </c>
      <c r="B121" s="567"/>
      <c r="C121" s="567"/>
      <c r="D121" s="567"/>
    </row>
    <row r="122" spans="1:4" hidden="1">
      <c r="A122" s="12" t="s">
        <v>3</v>
      </c>
      <c r="B122" s="72"/>
      <c r="C122" s="73"/>
      <c r="D122" s="73"/>
    </row>
    <row r="123" spans="1:4">
      <c r="A123" s="12" t="s">
        <v>4</v>
      </c>
      <c r="B123" s="73">
        <v>4731.3028877999077</v>
      </c>
      <c r="C123" s="73">
        <v>496.47834075139747</v>
      </c>
      <c r="D123" s="73">
        <v>4234.8245470485099</v>
      </c>
    </row>
    <row r="124" spans="1:4">
      <c r="A124" s="9" t="s">
        <v>5</v>
      </c>
      <c r="B124" s="73">
        <v>1618.5148325996199</v>
      </c>
      <c r="C124" s="73">
        <v>495.978820525809</v>
      </c>
      <c r="D124" s="72">
        <v>1122.5360120738101</v>
      </c>
    </row>
    <row r="125" spans="1:4">
      <c r="A125" s="12" t="s">
        <v>50</v>
      </c>
      <c r="B125" s="568">
        <v>103.691</v>
      </c>
      <c r="C125" s="568">
        <v>22.696000000000002</v>
      </c>
      <c r="D125" s="568">
        <f>+B125-C125</f>
        <v>80.995000000000005</v>
      </c>
    </row>
    <row r="126" spans="1:4">
      <c r="A126" s="12" t="s">
        <v>6</v>
      </c>
      <c r="B126" s="73">
        <v>77.310772790000001</v>
      </c>
      <c r="C126" s="73">
        <v>23.646439639999901</v>
      </c>
      <c r="D126" s="73">
        <v>53.664333149999997</v>
      </c>
    </row>
    <row r="127" spans="1:4">
      <c r="A127" s="12" t="s">
        <v>7</v>
      </c>
      <c r="B127" s="568">
        <v>3111.1029221863878</v>
      </c>
      <c r="C127" s="568">
        <v>372.81451493884401</v>
      </c>
      <c r="D127" s="568">
        <v>2738.2884072480292</v>
      </c>
    </row>
    <row r="128" spans="1:4">
      <c r="A128" s="12" t="s">
        <v>369</v>
      </c>
      <c r="B128" s="73">
        <v>38</v>
      </c>
      <c r="C128" s="73">
        <v>1.57</v>
      </c>
      <c r="D128" s="73">
        <v>36</v>
      </c>
    </row>
    <row r="129" spans="1:4">
      <c r="A129" s="12" t="s">
        <v>8</v>
      </c>
      <c r="B129" s="73">
        <v>1046.3451278614966</v>
      </c>
      <c r="C129" s="73">
        <v>231.06132297190959</v>
      </c>
      <c r="D129" s="73">
        <v>815.28380488958703</v>
      </c>
    </row>
    <row r="130" spans="1:4">
      <c r="A130" s="9" t="s">
        <v>82</v>
      </c>
      <c r="B130" s="448">
        <v>239.11737221946558</v>
      </c>
      <c r="C130" s="448">
        <v>27.586015477032547</v>
      </c>
      <c r="D130" s="448">
        <v>211.5313566790891</v>
      </c>
    </row>
    <row r="131" spans="1:4">
      <c r="A131" s="12" t="s">
        <v>9</v>
      </c>
      <c r="B131" s="569">
        <v>121520178.97183484</v>
      </c>
      <c r="C131" s="569">
        <v>21421433.996445175</v>
      </c>
      <c r="D131" s="567">
        <v>100098744.94120865</v>
      </c>
    </row>
    <row r="132" spans="1:4">
      <c r="A132" s="10"/>
      <c r="B132" s="73"/>
      <c r="C132" s="73"/>
      <c r="D132" s="73"/>
    </row>
    <row r="133" spans="1:4">
      <c r="A133" s="22" t="s">
        <v>10</v>
      </c>
      <c r="B133" s="251"/>
      <c r="C133" s="251"/>
      <c r="D133" s="251"/>
    </row>
    <row r="136" spans="1:4">
      <c r="A136" s="12" t="s">
        <v>385</v>
      </c>
    </row>
    <row r="137" spans="1:4">
      <c r="A137" s="10" t="s">
        <v>49</v>
      </c>
    </row>
    <row r="138" spans="1:4">
      <c r="A138" s="16" t="s">
        <v>0</v>
      </c>
      <c r="B138" s="93" t="s">
        <v>25</v>
      </c>
      <c r="C138" s="93" t="s">
        <v>26</v>
      </c>
      <c r="D138" s="93" t="s">
        <v>27</v>
      </c>
    </row>
    <row r="139" spans="1:4">
      <c r="A139" s="92"/>
      <c r="B139" s="18"/>
      <c r="C139" s="18"/>
      <c r="D139" s="449"/>
    </row>
    <row r="140" spans="1:4">
      <c r="A140" s="12" t="s">
        <v>2</v>
      </c>
      <c r="B140" s="567"/>
      <c r="C140" s="567"/>
      <c r="D140" s="567"/>
    </row>
    <row r="141" spans="1:4">
      <c r="A141" s="12" t="s">
        <v>3</v>
      </c>
      <c r="B141" s="72"/>
      <c r="C141" s="73"/>
      <c r="D141" s="73"/>
    </row>
    <row r="142" spans="1:4">
      <c r="A142" s="12" t="s">
        <v>4</v>
      </c>
      <c r="B142" s="73">
        <v>5344.9051379994144</v>
      </c>
      <c r="C142" s="73">
        <v>645.17490816293355</v>
      </c>
      <c r="D142" s="73">
        <v>4699.7302298364812</v>
      </c>
    </row>
    <row r="143" spans="1:4">
      <c r="A143" s="9" t="s">
        <v>5</v>
      </c>
      <c r="B143" s="73">
        <v>1874.8279042392758</v>
      </c>
      <c r="C143" s="73">
        <v>568.07746315348527</v>
      </c>
      <c r="D143" s="72">
        <v>1306.750441089142</v>
      </c>
    </row>
    <row r="144" spans="1:4">
      <c r="A144" s="12" t="s">
        <v>50</v>
      </c>
      <c r="B144" s="568">
        <v>92.929865433159122</v>
      </c>
      <c r="C144" s="568">
        <v>14.754916309717167</v>
      </c>
      <c r="D144" s="568">
        <v>78.174949123441991</v>
      </c>
    </row>
    <row r="145" spans="1:4">
      <c r="A145" s="12" t="s">
        <v>6</v>
      </c>
      <c r="B145" s="568">
        <v>78.969599000000002</v>
      </c>
      <c r="C145" s="568">
        <v>24.111317</v>
      </c>
      <c r="D145" s="568">
        <v>54.858282000000003</v>
      </c>
    </row>
    <row r="146" spans="1:4">
      <c r="A146" s="12" t="s">
        <v>7</v>
      </c>
      <c r="B146" s="568">
        <v>3356.4546220186235</v>
      </c>
      <c r="C146" s="568">
        <v>364.45594954813379</v>
      </c>
      <c r="D146" s="568">
        <v>2991.9986724709984</v>
      </c>
    </row>
    <row r="147" spans="1:4">
      <c r="A147" s="12" t="s">
        <v>369</v>
      </c>
      <c r="B147" s="568">
        <v>46</v>
      </c>
      <c r="C147" s="568">
        <v>3</v>
      </c>
      <c r="D147" s="568">
        <v>43</v>
      </c>
    </row>
    <row r="148" spans="1:4">
      <c r="A148" s="12" t="s">
        <v>8</v>
      </c>
      <c r="B148" s="568">
        <v>1084.3535919504575</v>
      </c>
      <c r="C148" s="568">
        <v>213.42228312162717</v>
      </c>
      <c r="D148" s="568">
        <v>870.93130882883042</v>
      </c>
    </row>
    <row r="149" spans="1:4">
      <c r="A149" s="9" t="s">
        <v>82</v>
      </c>
      <c r="B149" s="568">
        <v>316.18500551564409</v>
      </c>
      <c r="C149" s="568">
        <v>38.037497450354657</v>
      </c>
      <c r="D149" s="568">
        <v>278.1475080652894</v>
      </c>
    </row>
    <row r="150" spans="1:4">
      <c r="A150" s="12" t="s">
        <v>9</v>
      </c>
      <c r="B150" s="568">
        <v>152.85575499999999</v>
      </c>
      <c r="C150" s="568">
        <v>26.195979349186501</v>
      </c>
      <c r="D150" s="568">
        <v>126.65977534418001</v>
      </c>
    </row>
    <row r="151" spans="1:4">
      <c r="A151" s="10"/>
      <c r="B151" s="250"/>
      <c r="C151" s="250"/>
      <c r="D151" s="250"/>
    </row>
    <row r="152" spans="1:4">
      <c r="A152" s="22" t="s">
        <v>10</v>
      </c>
      <c r="B152" s="251"/>
      <c r="C152" s="251"/>
      <c r="D152" s="251"/>
    </row>
    <row r="154" spans="1:4">
      <c r="A154" s="12" t="s">
        <v>408</v>
      </c>
    </row>
    <row r="155" spans="1:4">
      <c r="A155" s="10" t="s">
        <v>49</v>
      </c>
    </row>
    <row r="156" spans="1:4">
      <c r="A156" s="16" t="s">
        <v>0</v>
      </c>
      <c r="B156" s="93" t="s">
        <v>25</v>
      </c>
      <c r="C156" s="93" t="s">
        <v>26</v>
      </c>
      <c r="D156" s="93" t="s">
        <v>27</v>
      </c>
    </row>
    <row r="157" spans="1:4">
      <c r="A157" s="12" t="s">
        <v>4</v>
      </c>
      <c r="B157" s="73">
        <v>4738.7295792666273</v>
      </c>
      <c r="C157" s="73">
        <v>596.61817619916928</v>
      </c>
      <c r="D157" s="73">
        <v>4142.111403067458</v>
      </c>
    </row>
    <row r="158" spans="1:4">
      <c r="A158" s="9" t="s">
        <v>5</v>
      </c>
      <c r="B158" s="73"/>
      <c r="C158" s="73"/>
      <c r="D158" s="72"/>
    </row>
    <row r="159" spans="1:4">
      <c r="A159" s="12" t="s">
        <v>50</v>
      </c>
      <c r="B159" s="72">
        <v>96.976320000000001</v>
      </c>
      <c r="C159" s="72">
        <v>17.46208</v>
      </c>
      <c r="D159" s="72">
        <v>79.514240000000001</v>
      </c>
    </row>
    <row r="160" spans="1:4">
      <c r="A160" s="12" t="s">
        <v>6</v>
      </c>
      <c r="B160" s="72">
        <v>75.486197000000004</v>
      </c>
      <c r="C160" s="72">
        <v>23.563849000000001</v>
      </c>
      <c r="D160" s="72">
        <v>51.922348</v>
      </c>
    </row>
    <row r="161" spans="1:4">
      <c r="A161" s="12" t="s">
        <v>7</v>
      </c>
      <c r="B161" s="72">
        <v>3698.7766437744262</v>
      </c>
      <c r="C161" s="72">
        <v>385.43822822728384</v>
      </c>
      <c r="D161" s="72">
        <v>3313.338415547651</v>
      </c>
    </row>
    <row r="162" spans="1:4">
      <c r="A162" s="12" t="s">
        <v>369</v>
      </c>
      <c r="B162" s="72">
        <v>52.76</v>
      </c>
      <c r="C162" s="72">
        <v>1.93</v>
      </c>
      <c r="D162" s="72">
        <v>51.23</v>
      </c>
    </row>
    <row r="163" spans="1:4">
      <c r="A163" s="12" t="s">
        <v>8</v>
      </c>
      <c r="B163" s="72">
        <v>1094.8884044193635</v>
      </c>
      <c r="C163" s="72">
        <v>227.15452505622991</v>
      </c>
      <c r="D163" s="72">
        <v>867.73387936313372</v>
      </c>
    </row>
    <row r="164" spans="1:4">
      <c r="A164" s="9" t="s">
        <v>82</v>
      </c>
      <c r="B164" s="72">
        <v>295.18046699489423</v>
      </c>
      <c r="C164" s="72">
        <v>23.033071335788566</v>
      </c>
      <c r="D164" s="72">
        <v>272.14739565910565</v>
      </c>
    </row>
    <row r="165" spans="1:4">
      <c r="A165" s="12" t="s">
        <v>9</v>
      </c>
      <c r="B165" s="72">
        <v>147.89632960790399</v>
      </c>
      <c r="C165" s="72">
        <v>21.5780460018524</v>
      </c>
      <c r="D165" s="72">
        <v>126.31828360605201</v>
      </c>
    </row>
    <row r="166" spans="1:4">
      <c r="A166" s="10"/>
      <c r="B166" s="250"/>
      <c r="C166" s="250"/>
      <c r="D166" s="250"/>
    </row>
    <row r="167" spans="1:4">
      <c r="A167" s="22" t="s">
        <v>10</v>
      </c>
      <c r="B167" s="251"/>
      <c r="C167" s="251"/>
      <c r="D167" s="251"/>
    </row>
    <row r="169" spans="1:4">
      <c r="A169" s="12" t="s">
        <v>444</v>
      </c>
    </row>
    <row r="170" spans="1:4">
      <c r="A170" s="10" t="s">
        <v>49</v>
      </c>
    </row>
    <row r="171" spans="1:4">
      <c r="A171" s="16" t="s">
        <v>0</v>
      </c>
      <c r="B171" s="93" t="s">
        <v>25</v>
      </c>
      <c r="C171" s="93" t="s">
        <v>26</v>
      </c>
      <c r="D171" s="93" t="s">
        <v>27</v>
      </c>
    </row>
    <row r="172" spans="1:4">
      <c r="A172" s="12" t="s">
        <v>4</v>
      </c>
      <c r="B172" s="73">
        <v>4993.5039160914293</v>
      </c>
      <c r="C172" s="73">
        <v>931.46695898579105</v>
      </c>
      <c r="D172" s="73">
        <v>4062.0369571056385</v>
      </c>
    </row>
    <row r="173" spans="1:4">
      <c r="A173" s="9" t="s">
        <v>5</v>
      </c>
      <c r="B173" s="73"/>
      <c r="C173" s="73"/>
      <c r="D173" s="72"/>
    </row>
    <row r="174" spans="1:4">
      <c r="A174" s="12" t="s">
        <v>50</v>
      </c>
      <c r="B174" s="73">
        <v>132.02530999999999</v>
      </c>
      <c r="C174" s="73">
        <v>25.683</v>
      </c>
      <c r="D174" s="73">
        <v>106.34231</v>
      </c>
    </row>
    <row r="175" spans="1:4">
      <c r="A175" s="12" t="s">
        <v>6</v>
      </c>
      <c r="B175" s="73">
        <v>74.215765000000005</v>
      </c>
      <c r="C175" s="73">
        <v>27.070982000000001</v>
      </c>
      <c r="D175" s="73">
        <v>47.144782999999997</v>
      </c>
    </row>
    <row r="176" spans="1:4">
      <c r="A176" s="12" t="s">
        <v>7</v>
      </c>
      <c r="B176" s="358">
        <v>4271.867838123535</v>
      </c>
      <c r="C176" s="358">
        <v>525.44769289447743</v>
      </c>
      <c r="D176" s="358">
        <v>3746.4201452147449</v>
      </c>
    </row>
    <row r="177" spans="1:4">
      <c r="A177" s="12" t="s">
        <v>369</v>
      </c>
      <c r="B177" s="358">
        <v>62.7</v>
      </c>
      <c r="C177" s="72">
        <v>2.31</v>
      </c>
      <c r="D177" s="72">
        <v>60.39</v>
      </c>
    </row>
    <row r="178" spans="1:4">
      <c r="A178" s="12" t="s">
        <v>8</v>
      </c>
      <c r="B178" s="72">
        <v>1127.2447244202131</v>
      </c>
      <c r="C178" s="72">
        <v>226.87047847069056</v>
      </c>
      <c r="D178" s="72">
        <v>900.37424594952256</v>
      </c>
    </row>
    <row r="179" spans="1:4">
      <c r="A179" s="9" t="s">
        <v>82</v>
      </c>
      <c r="B179" s="72">
        <v>331.59027281666846</v>
      </c>
      <c r="C179" s="72">
        <v>40.780547106949307</v>
      </c>
      <c r="D179" s="72">
        <v>290.82861821441628</v>
      </c>
    </row>
    <row r="180" spans="1:4">
      <c r="A180" s="12" t="s">
        <v>9</v>
      </c>
      <c r="B180" s="72">
        <v>144.01295644953902</v>
      </c>
      <c r="C180" s="72">
        <v>18.948189066852368</v>
      </c>
      <c r="D180" s="72">
        <v>125.06476738268695</v>
      </c>
    </row>
    <row r="181" spans="1:4">
      <c r="A181" s="10"/>
      <c r="B181" s="250"/>
      <c r="C181" s="250"/>
      <c r="D181" s="250"/>
    </row>
    <row r="182" spans="1:4">
      <c r="A182" s="22" t="s">
        <v>10</v>
      </c>
      <c r="B182" s="251"/>
      <c r="C182" s="251"/>
      <c r="D182" s="251"/>
    </row>
    <row r="184" spans="1:4">
      <c r="A184" s="12" t="s">
        <v>469</v>
      </c>
    </row>
    <row r="185" spans="1:4">
      <c r="A185" s="10" t="s">
        <v>49</v>
      </c>
    </row>
    <row r="186" spans="1:4">
      <c r="A186" s="16" t="s">
        <v>0</v>
      </c>
      <c r="B186" s="93" t="s">
        <v>25</v>
      </c>
      <c r="C186" s="93" t="s">
        <v>26</v>
      </c>
      <c r="D186" s="93" t="s">
        <v>27</v>
      </c>
    </row>
    <row r="187" spans="1:4">
      <c r="A187" s="12" t="s">
        <v>4</v>
      </c>
      <c r="B187" s="73">
        <v>5657.6003964906358</v>
      </c>
      <c r="C187" s="73">
        <v>1476.2134722456551</v>
      </c>
      <c r="D187" s="73">
        <v>4181.38692424498</v>
      </c>
    </row>
    <row r="188" spans="1:4">
      <c r="A188" s="9" t="s">
        <v>5</v>
      </c>
      <c r="B188" s="73"/>
      <c r="C188" s="73"/>
      <c r="D188" s="72"/>
    </row>
    <row r="189" spans="1:4">
      <c r="A189" s="12" t="s">
        <v>50</v>
      </c>
      <c r="B189" s="73">
        <v>130.5</v>
      </c>
      <c r="C189" s="73">
        <v>24.26</v>
      </c>
      <c r="D189" s="73">
        <v>106.29</v>
      </c>
    </row>
    <row r="190" spans="1:4">
      <c r="A190" s="12" t="s">
        <v>6</v>
      </c>
      <c r="B190" s="73">
        <v>66.341932999999997</v>
      </c>
      <c r="C190" s="73">
        <v>25.371901999999999</v>
      </c>
      <c r="D190" s="73">
        <v>40.970030999999999</v>
      </c>
    </row>
    <row r="191" spans="1:4">
      <c r="A191" s="12" t="s">
        <v>7</v>
      </c>
      <c r="B191" s="358">
        <v>4374.1626521977832</v>
      </c>
      <c r="C191" s="358">
        <v>568.37755880946531</v>
      </c>
      <c r="D191" s="358">
        <v>3805.7850934691869</v>
      </c>
    </row>
    <row r="192" spans="1:4">
      <c r="A192" s="12" t="s">
        <v>369</v>
      </c>
      <c r="B192" s="358">
        <v>74.69</v>
      </c>
      <c r="C192" s="72">
        <v>3.71</v>
      </c>
      <c r="D192" s="72">
        <v>70.98</v>
      </c>
    </row>
    <row r="193" spans="1:4">
      <c r="A193" s="12" t="s">
        <v>8</v>
      </c>
      <c r="B193" s="72">
        <v>1141.7865302836292</v>
      </c>
      <c r="C193" s="72">
        <v>247.4082051148242</v>
      </c>
      <c r="D193" s="72">
        <v>894.3783251688053</v>
      </c>
    </row>
    <row r="194" spans="1:4">
      <c r="A194" s="9" t="s">
        <v>82</v>
      </c>
      <c r="B194" s="72">
        <v>313.85185678728504</v>
      </c>
      <c r="C194" s="72">
        <v>60.160245618466575</v>
      </c>
      <c r="D194" s="72">
        <v>253.69161891849865</v>
      </c>
    </row>
    <row r="195" spans="1:4">
      <c r="A195" s="12" t="s">
        <v>9</v>
      </c>
      <c r="B195" s="72">
        <v>5735.3177310000001</v>
      </c>
      <c r="C195" s="72">
        <v>646.44368299999996</v>
      </c>
      <c r="D195" s="72">
        <v>5088.874049</v>
      </c>
    </row>
    <row r="196" spans="1:4">
      <c r="A196" s="10"/>
      <c r="B196" s="250"/>
      <c r="C196" s="250"/>
      <c r="D196" s="250"/>
    </row>
    <row r="197" spans="1:4">
      <c r="A197" s="22" t="s">
        <v>10</v>
      </c>
      <c r="B197" s="251"/>
      <c r="C197" s="251"/>
      <c r="D197" s="251"/>
    </row>
    <row r="199" spans="1:4">
      <c r="A199" s="12" t="s">
        <v>480</v>
      </c>
    </row>
    <row r="200" spans="1:4">
      <c r="A200" s="10" t="s">
        <v>49</v>
      </c>
    </row>
    <row r="201" spans="1:4">
      <c r="A201" s="16" t="s">
        <v>0</v>
      </c>
      <c r="B201" s="93" t="s">
        <v>25</v>
      </c>
      <c r="C201" s="93" t="s">
        <v>26</v>
      </c>
      <c r="D201" s="93" t="s">
        <v>27</v>
      </c>
    </row>
    <row r="202" spans="1:4">
      <c r="A202" s="12" t="s">
        <v>4</v>
      </c>
      <c r="B202" s="73">
        <v>4089.8086621581883</v>
      </c>
      <c r="C202" s="73">
        <v>879.53146486327546</v>
      </c>
      <c r="D202" s="73">
        <v>3210.2771972949131</v>
      </c>
    </row>
    <row r="203" spans="1:4">
      <c r="A203" s="9" t="s">
        <v>5</v>
      </c>
      <c r="B203" s="73">
        <v>2228.9303501765821</v>
      </c>
      <c r="C203" s="73">
        <v>762.7445132401109</v>
      </c>
      <c r="D203" s="72">
        <v>1466.1858369364709</v>
      </c>
    </row>
    <row r="204" spans="1:4">
      <c r="A204" s="12" t="s">
        <v>50</v>
      </c>
      <c r="B204" s="73">
        <v>141.91</v>
      </c>
      <c r="C204" s="73">
        <v>23.45</v>
      </c>
      <c r="D204" s="73">
        <v>118.45</v>
      </c>
    </row>
    <row r="205" spans="1:4">
      <c r="A205" s="12" t="s">
        <v>6</v>
      </c>
      <c r="B205" s="73">
        <v>59.3</v>
      </c>
      <c r="C205" s="73">
        <v>16.3</v>
      </c>
      <c r="D205" s="73">
        <v>43</v>
      </c>
    </row>
    <row r="206" spans="1:4">
      <c r="A206" s="12" t="s">
        <v>7</v>
      </c>
      <c r="B206" s="358">
        <v>4317.9272930879661</v>
      </c>
      <c r="C206" s="358">
        <v>542.2445227417528</v>
      </c>
      <c r="D206" s="358">
        <v>3775.6827704243865</v>
      </c>
    </row>
    <row r="207" spans="1:4">
      <c r="A207" s="12" t="s">
        <v>369</v>
      </c>
      <c r="B207" s="358">
        <v>84.27</v>
      </c>
      <c r="C207" s="72">
        <v>2.2599999999999998</v>
      </c>
      <c r="D207" s="72">
        <v>82.01</v>
      </c>
    </row>
    <row r="208" spans="1:4">
      <c r="A208" s="12" t="s">
        <v>8</v>
      </c>
      <c r="B208" s="72">
        <v>906.52596862505584</v>
      </c>
      <c r="C208" s="72">
        <v>204.51586348425599</v>
      </c>
      <c r="D208" s="72">
        <v>702.01010514079985</v>
      </c>
    </row>
    <row r="209" spans="1:4">
      <c r="A209" s="9" t="s">
        <v>82</v>
      </c>
      <c r="B209" s="72">
        <v>395.23811292576204</v>
      </c>
      <c r="C209" s="72">
        <v>109.74183497964144</v>
      </c>
      <c r="D209" s="72">
        <v>285.49627794612064</v>
      </c>
    </row>
    <row r="210" spans="1:4">
      <c r="A210" s="12" t="s">
        <v>9</v>
      </c>
      <c r="B210" s="72">
        <v>6227.3031579999997</v>
      </c>
      <c r="C210" s="72">
        <v>675.01888199999996</v>
      </c>
      <c r="D210" s="72">
        <v>5552.2842760000003</v>
      </c>
    </row>
    <row r="211" spans="1:4">
      <c r="A211" s="10"/>
      <c r="B211" s="250"/>
      <c r="C211" s="250"/>
      <c r="D211" s="250"/>
    </row>
    <row r="212" spans="1:4">
      <c r="A212" s="22" t="s">
        <v>10</v>
      </c>
      <c r="B212" s="251"/>
      <c r="C212" s="251"/>
      <c r="D212" s="251"/>
    </row>
    <row r="214" spans="1:4">
      <c r="A214" s="12" t="s">
        <v>492</v>
      </c>
    </row>
    <row r="215" spans="1:4">
      <c r="A215" s="10" t="s">
        <v>49</v>
      </c>
    </row>
    <row r="216" spans="1:4">
      <c r="A216" s="16" t="s">
        <v>0</v>
      </c>
      <c r="B216" s="93" t="s">
        <v>25</v>
      </c>
      <c r="C216" s="93" t="s">
        <v>26</v>
      </c>
      <c r="D216" s="93" t="s">
        <v>27</v>
      </c>
    </row>
    <row r="217" spans="1:4">
      <c r="A217" s="12" t="s">
        <v>4</v>
      </c>
      <c r="B217" s="73">
        <v>4014.477249828391</v>
      </c>
      <c r="C217" s="73">
        <v>893.78403508976066</v>
      </c>
      <c r="D217" s="73">
        <v>3120.6932147386301</v>
      </c>
    </row>
    <row r="218" spans="1:4">
      <c r="A218" s="9" t="s">
        <v>5</v>
      </c>
      <c r="B218" s="73">
        <v>1492.9311701405993</v>
      </c>
      <c r="C218" s="73">
        <v>358.5487139147333</v>
      </c>
      <c r="D218" s="72">
        <v>1134.3824562258658</v>
      </c>
    </row>
    <row r="219" spans="1:4">
      <c r="A219" s="12" t="s">
        <v>50</v>
      </c>
      <c r="B219" s="73">
        <v>152.001272</v>
      </c>
      <c r="C219" s="73">
        <v>23.518257999999999</v>
      </c>
      <c r="D219" s="73">
        <v>128.483013</v>
      </c>
    </row>
    <row r="220" spans="1:4">
      <c r="A220" s="12" t="s">
        <v>6</v>
      </c>
      <c r="B220" s="73"/>
      <c r="C220" s="73"/>
      <c r="D220" s="73"/>
    </row>
    <row r="221" spans="1:4">
      <c r="A221" s="12" t="s">
        <v>7</v>
      </c>
      <c r="B221" s="358">
        <v>4027.9129665680612</v>
      </c>
      <c r="C221" s="358">
        <v>449.42867829083531</v>
      </c>
      <c r="D221" s="358">
        <v>3578.4842882536018</v>
      </c>
    </row>
    <row r="222" spans="1:4">
      <c r="A222" s="12" t="s">
        <v>369</v>
      </c>
      <c r="B222" s="358">
        <v>94.6</v>
      </c>
      <c r="C222" s="72">
        <v>2.1</v>
      </c>
      <c r="D222" s="72">
        <v>92.5</v>
      </c>
    </row>
    <row r="223" spans="1:4">
      <c r="A223" s="12" t="s">
        <v>8</v>
      </c>
      <c r="B223" s="72">
        <v>849.02100029971098</v>
      </c>
      <c r="C223" s="72">
        <v>234.846578260451</v>
      </c>
      <c r="D223" s="72">
        <v>614.17442203925896</v>
      </c>
    </row>
    <row r="224" spans="1:4">
      <c r="A224" s="9" t="s">
        <v>82</v>
      </c>
      <c r="B224" s="72">
        <v>409.07301609086772</v>
      </c>
      <c r="C224" s="72">
        <v>79.558316244122665</v>
      </c>
      <c r="D224" s="72">
        <v>327.96172033583122</v>
      </c>
    </row>
    <row r="225" spans="1:4">
      <c r="A225" s="12" t="s">
        <v>9</v>
      </c>
      <c r="B225" s="72">
        <v>6550.0400069999996</v>
      </c>
      <c r="C225" s="72">
        <v>536.41793900000005</v>
      </c>
      <c r="D225" s="72">
        <v>6013.622069</v>
      </c>
    </row>
    <row r="226" spans="1:4">
      <c r="A226" s="10"/>
      <c r="B226" s="250"/>
      <c r="C226" s="250"/>
      <c r="D226" s="250"/>
    </row>
    <row r="227" spans="1:4">
      <c r="A227" s="22" t="s">
        <v>10</v>
      </c>
      <c r="B227" s="251"/>
      <c r="C227" s="251"/>
      <c r="D227" s="251"/>
    </row>
    <row r="229" spans="1:4">
      <c r="A229" s="12" t="s">
        <v>504</v>
      </c>
    </row>
    <row r="230" spans="1:4">
      <c r="A230" s="10" t="s">
        <v>49</v>
      </c>
    </row>
    <row r="231" spans="1:4">
      <c r="A231" s="16" t="s">
        <v>0</v>
      </c>
      <c r="B231" s="93" t="s">
        <v>25</v>
      </c>
      <c r="C231" s="93" t="s">
        <v>26</v>
      </c>
      <c r="D231" s="93" t="s">
        <v>27</v>
      </c>
    </row>
    <row r="232" spans="1:4">
      <c r="A232" s="12" t="s">
        <v>4</v>
      </c>
      <c r="B232" s="73">
        <v>3855.043228323274</v>
      </c>
      <c r="C232" s="73">
        <v>915.96451914786223</v>
      </c>
      <c r="D232" s="73">
        <v>2939.0787091754114</v>
      </c>
    </row>
    <row r="233" spans="1:4">
      <c r="A233" s="9" t="s">
        <v>5</v>
      </c>
      <c r="B233" s="73">
        <v>2021.7857874708939</v>
      </c>
      <c r="C233" s="73">
        <v>383.02337724076864</v>
      </c>
      <c r="D233" s="73">
        <v>1638.7624102301252</v>
      </c>
    </row>
    <row r="234" spans="1:4">
      <c r="A234" s="12" t="s">
        <v>50</v>
      </c>
      <c r="B234" s="73">
        <v>210.28946099999999</v>
      </c>
      <c r="C234" s="73">
        <v>28.250686999999999</v>
      </c>
      <c r="D234" s="73">
        <v>182.03877399999999</v>
      </c>
    </row>
    <row r="235" spans="1:4">
      <c r="A235" s="12" t="s">
        <v>6</v>
      </c>
      <c r="B235" s="73"/>
      <c r="C235" s="73"/>
      <c r="D235" s="73"/>
    </row>
    <row r="236" spans="1:4">
      <c r="A236" s="12" t="s">
        <v>7</v>
      </c>
      <c r="B236" s="73">
        <v>4967.3245337147582</v>
      </c>
      <c r="C236" s="73">
        <v>618.18358904190552</v>
      </c>
      <c r="D236" s="73">
        <v>4349.1409446811276</v>
      </c>
    </row>
    <row r="237" spans="1:4">
      <c r="A237" s="12" t="s">
        <v>369</v>
      </c>
      <c r="B237" s="73">
        <v>107.4</v>
      </c>
      <c r="C237" s="73">
        <v>2.6</v>
      </c>
      <c r="D237" s="73">
        <v>104.8</v>
      </c>
    </row>
    <row r="238" spans="1:4">
      <c r="A238" s="12" t="s">
        <v>8</v>
      </c>
      <c r="B238" s="73">
        <v>876.99466461433519</v>
      </c>
      <c r="C238" s="73">
        <v>190.42886554297792</v>
      </c>
      <c r="D238" s="73">
        <v>686.56579907135711</v>
      </c>
    </row>
    <row r="239" spans="1:4">
      <c r="A239" s="9" t="s">
        <v>82</v>
      </c>
      <c r="B239" s="73">
        <v>384.67725094964277</v>
      </c>
      <c r="C239" s="73">
        <v>39.83736295521868</v>
      </c>
      <c r="D239" s="73">
        <v>344.83988799442409</v>
      </c>
    </row>
    <row r="240" spans="1:4">
      <c r="A240" s="12" t="s">
        <v>9</v>
      </c>
      <c r="B240" s="73">
        <v>6305.2307000000001</v>
      </c>
      <c r="C240" s="73">
        <v>791.92621399999996</v>
      </c>
      <c r="D240" s="73">
        <v>5513.3044879999998</v>
      </c>
    </row>
    <row r="241" spans="1:4">
      <c r="A241" s="10"/>
      <c r="B241" s="250"/>
      <c r="C241" s="250"/>
      <c r="D241" s="250"/>
    </row>
    <row r="242" spans="1:4">
      <c r="A242" s="22" t="s">
        <v>10</v>
      </c>
      <c r="B242" s="251"/>
      <c r="C242" s="251"/>
      <c r="D242" s="251"/>
    </row>
    <row r="244" spans="1:4">
      <c r="A244" s="12" t="s">
        <v>523</v>
      </c>
    </row>
    <row r="245" spans="1:4">
      <c r="A245" s="10" t="s">
        <v>49</v>
      </c>
    </row>
    <row r="246" spans="1:4">
      <c r="A246" s="16" t="s">
        <v>0</v>
      </c>
      <c r="B246" s="93" t="s">
        <v>25</v>
      </c>
      <c r="C246" s="93" t="s">
        <v>26</v>
      </c>
      <c r="D246" s="93" t="s">
        <v>27</v>
      </c>
    </row>
    <row r="247" spans="1:4">
      <c r="A247" s="12" t="s">
        <v>4</v>
      </c>
      <c r="B247" s="73">
        <v>3992.1377041083738</v>
      </c>
      <c r="C247" s="73">
        <v>1088.8409365802524</v>
      </c>
      <c r="D247" s="73">
        <v>2903.2967675281216</v>
      </c>
    </row>
    <row r="248" spans="1:4">
      <c r="A248" s="9" t="s">
        <v>5</v>
      </c>
      <c r="B248" s="73">
        <v>1970.5869771703099</v>
      </c>
      <c r="C248" s="73">
        <v>413.64806015434499</v>
      </c>
      <c r="D248" s="73">
        <v>1556.9389170159648</v>
      </c>
    </row>
    <row r="249" spans="1:4">
      <c r="A249" s="12" t="s">
        <v>50</v>
      </c>
      <c r="B249" s="73">
        <v>238.73560000000001</v>
      </c>
      <c r="C249" s="73">
        <v>35.55397</v>
      </c>
      <c r="D249" s="73">
        <v>203.1816</v>
      </c>
    </row>
    <row r="250" spans="1:4">
      <c r="A250" s="12" t="s">
        <v>6</v>
      </c>
      <c r="B250" s="73"/>
      <c r="C250" s="73"/>
      <c r="D250" s="73"/>
    </row>
    <row r="251" spans="1:4">
      <c r="A251" s="12" t="s">
        <v>7</v>
      </c>
      <c r="B251" s="73">
        <v>4335.3570345036615</v>
      </c>
      <c r="C251" s="73">
        <v>583.28907871809179</v>
      </c>
      <c r="D251" s="73">
        <v>3752.0679557927851</v>
      </c>
    </row>
    <row r="252" spans="1:4">
      <c r="A252" s="12" t="s">
        <v>369</v>
      </c>
      <c r="B252" s="73">
        <v>121.2</v>
      </c>
      <c r="C252" s="73">
        <v>2.7</v>
      </c>
      <c r="D252" s="73">
        <v>118.5</v>
      </c>
    </row>
    <row r="253" spans="1:4">
      <c r="A253" s="12" t="s">
        <v>8</v>
      </c>
      <c r="B253" s="73">
        <v>804.67421706930156</v>
      </c>
      <c r="C253" s="73">
        <v>178.11839191401884</v>
      </c>
      <c r="D253" s="73">
        <v>626.55582515528272</v>
      </c>
    </row>
    <row r="254" spans="1:4">
      <c r="A254" s="9" t="s">
        <v>82</v>
      </c>
      <c r="B254" s="73">
        <v>424.61181158427036</v>
      </c>
      <c r="C254" s="73">
        <v>56.395508381994794</v>
      </c>
      <c r="D254" s="73">
        <v>368.21630321917684</v>
      </c>
    </row>
    <row r="255" spans="1:4">
      <c r="A255" s="12" t="s">
        <v>9</v>
      </c>
      <c r="B255" s="73">
        <v>5725.2638399999996</v>
      </c>
      <c r="C255" s="73">
        <v>883.08764299999996</v>
      </c>
      <c r="D255" s="73">
        <v>4842.1761969999998</v>
      </c>
    </row>
    <row r="256" spans="1:4">
      <c r="A256" s="10"/>
      <c r="B256" s="250"/>
      <c r="C256" s="250"/>
      <c r="D256" s="250"/>
    </row>
    <row r="257" spans="1:4">
      <c r="A257" s="22" t="s">
        <v>10</v>
      </c>
      <c r="B257" s="251"/>
      <c r="C257" s="251"/>
      <c r="D257" s="251"/>
    </row>
    <row r="259" spans="1:4">
      <c r="A259" s="12" t="s">
        <v>535</v>
      </c>
    </row>
    <row r="260" spans="1:4">
      <c r="A260" s="10" t="s">
        <v>49</v>
      </c>
    </row>
    <row r="261" spans="1:4">
      <c r="A261" s="16" t="s">
        <v>0</v>
      </c>
      <c r="B261" s="93" t="s">
        <v>25</v>
      </c>
      <c r="C261" s="93" t="s">
        <v>26</v>
      </c>
      <c r="D261" s="93" t="s">
        <v>27</v>
      </c>
    </row>
    <row r="262" spans="1:4">
      <c r="A262" s="12" t="s">
        <v>4</v>
      </c>
      <c r="B262" s="73">
        <v>4851.0625595381816</v>
      </c>
      <c r="C262" s="73">
        <v>1449.6414627186728</v>
      </c>
      <c r="D262" s="73">
        <v>3401.4210968195089</v>
      </c>
    </row>
    <row r="263" spans="1:4">
      <c r="A263" s="9" t="s">
        <v>5</v>
      </c>
      <c r="B263" s="73">
        <v>2364.1766624900001</v>
      </c>
      <c r="C263" s="73">
        <v>545.77848481000001</v>
      </c>
      <c r="D263" s="73">
        <v>1818.39817769</v>
      </c>
    </row>
    <row r="264" spans="1:4">
      <c r="A264" s="12" t="s">
        <v>50</v>
      </c>
      <c r="B264" s="73">
        <v>270.04984200000001</v>
      </c>
      <c r="C264" s="73">
        <v>39.854058999999999</v>
      </c>
      <c r="D264" s="73">
        <v>230.19578300000001</v>
      </c>
    </row>
    <row r="265" spans="1:4">
      <c r="A265" s="12" t="s">
        <v>6</v>
      </c>
      <c r="B265" s="73"/>
      <c r="C265" s="73"/>
      <c r="D265" s="73"/>
    </row>
    <row r="266" spans="1:4">
      <c r="A266" s="12" t="s">
        <v>7</v>
      </c>
      <c r="B266" s="73">
        <v>5315.690570650846</v>
      </c>
      <c r="C266" s="73">
        <v>748.06253540708394</v>
      </c>
      <c r="D266" s="73">
        <v>4567.6280352520935</v>
      </c>
    </row>
    <row r="267" spans="1:4">
      <c r="A267" s="12" t="s">
        <v>369</v>
      </c>
      <c r="B267" s="73">
        <v>123.6</v>
      </c>
      <c r="C267" s="73">
        <v>4.0999999999999996</v>
      </c>
      <c r="D267" s="73">
        <v>119.51</v>
      </c>
    </row>
    <row r="268" spans="1:4">
      <c r="A268" s="12" t="s">
        <v>8</v>
      </c>
      <c r="B268" s="73">
        <v>873.8920187123623</v>
      </c>
      <c r="C268" s="73">
        <v>211.79024048629572</v>
      </c>
      <c r="D268" s="73">
        <v>662.10177822606659</v>
      </c>
    </row>
    <row r="269" spans="1:4">
      <c r="A269" s="9" t="s">
        <v>82</v>
      </c>
      <c r="B269" s="73">
        <v>419.41372813116817</v>
      </c>
      <c r="C269" s="73">
        <v>36.648996848685393</v>
      </c>
      <c r="D269" s="73">
        <v>382.76473126663512</v>
      </c>
    </row>
    <row r="270" spans="1:4">
      <c r="A270" s="12" t="s">
        <v>9</v>
      </c>
      <c r="B270" s="73">
        <v>5864.2158250000002</v>
      </c>
      <c r="C270" s="73">
        <v>828.36777700000005</v>
      </c>
      <c r="D270" s="73">
        <v>5035.8480470000004</v>
      </c>
    </row>
    <row r="271" spans="1:4">
      <c r="A271" s="10"/>
      <c r="B271" s="250"/>
      <c r="C271" s="250"/>
      <c r="D271" s="250"/>
    </row>
    <row r="272" spans="1:4">
      <c r="A272" s="22" t="s">
        <v>10</v>
      </c>
      <c r="B272" s="251"/>
      <c r="C272" s="251"/>
      <c r="D272" s="251"/>
    </row>
  </sheetData>
  <phoneticPr fontId="9" type="noConversion"/>
  <pageMargins left="0.74803149606299213" right="0.74803149606299213" top="0.98425196850393704" bottom="0.98425196850393704" header="0.51181102362204722" footer="0.51181102362204722"/>
  <pageSetup paperSize="9" fitToHeight="0" orientation="portrait" r:id="rId1"/>
  <headerFooter alignWithMargins="0">
    <oddHeader>&amp;A</oddHeader>
    <oddFooter>&amp;L&amp;F&amp;R&amp;D</oddFooter>
  </headerFooter>
  <rowBreaks count="1" manualBreakCount="1">
    <brk id="40" max="16383" man="1"/>
  </rowBreaks>
  <ignoredErrors>
    <ignoredError sqref="B19:D19" emptyCellReference="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L343"/>
  <sheetViews>
    <sheetView showGridLines="0" zoomScale="90" zoomScaleNormal="90" workbookViewId="0"/>
  </sheetViews>
  <sheetFormatPr baseColWidth="10" defaultRowHeight="15"/>
  <cols>
    <col min="1" max="1" width="12.625" style="13" customWidth="1"/>
    <col min="2" max="2" width="0.875" style="81" customWidth="1"/>
    <col min="3" max="3" width="12.625" style="13" customWidth="1"/>
    <col min="4" max="6" width="11.625" style="13" customWidth="1"/>
    <col min="7" max="7" width="11" style="13"/>
    <col min="8" max="11" width="11.875" style="13" bestFit="1" customWidth="1"/>
    <col min="12" max="16384" width="11" style="13"/>
  </cols>
  <sheetData>
    <row r="1" spans="1:12" ht="15.75" customHeight="1">
      <c r="A1" s="12" t="s">
        <v>320</v>
      </c>
      <c r="B1" s="158"/>
      <c r="C1" s="75"/>
      <c r="D1" s="75"/>
      <c r="E1" s="75"/>
      <c r="F1" s="75"/>
    </row>
    <row r="2" spans="1:12" ht="15.75" customHeight="1">
      <c r="A2" s="12" t="s">
        <v>59</v>
      </c>
      <c r="B2" s="153"/>
      <c r="C2" s="236"/>
      <c r="D2" s="236"/>
      <c r="E2" s="236"/>
      <c r="F2" s="236"/>
    </row>
    <row r="3" spans="1:12">
      <c r="A3" s="12" t="s">
        <v>411</v>
      </c>
      <c r="B3" s="235"/>
      <c r="C3" s="75"/>
      <c r="D3" s="75"/>
      <c r="E3" s="75"/>
      <c r="F3" s="75"/>
    </row>
    <row r="4" spans="1:12" ht="9.75" customHeight="1">
      <c r="A4" s="12"/>
      <c r="B4" s="235"/>
      <c r="C4" s="75"/>
      <c r="D4" s="75"/>
      <c r="E4" s="75"/>
      <c r="F4" s="75"/>
    </row>
    <row r="5" spans="1:12" s="76" customFormat="1" ht="30">
      <c r="A5" s="16" t="s">
        <v>0</v>
      </c>
      <c r="B5" s="152"/>
      <c r="C5" s="16" t="s">
        <v>28</v>
      </c>
      <c r="D5" s="16" t="s">
        <v>29</v>
      </c>
      <c r="E5" s="16" t="s">
        <v>30</v>
      </c>
      <c r="F5" s="16" t="s">
        <v>31</v>
      </c>
    </row>
    <row r="6" spans="1:12" s="76" customFormat="1" ht="5.0999999999999996" customHeight="1">
      <c r="A6" s="18"/>
      <c r="B6" s="152"/>
      <c r="C6" s="18"/>
      <c r="D6" s="18"/>
      <c r="E6" s="18"/>
      <c r="F6" s="18"/>
    </row>
    <row r="7" spans="1:12" ht="15.75" hidden="1" customHeight="1">
      <c r="A7" s="9" t="s">
        <v>3</v>
      </c>
      <c r="B7" s="153"/>
      <c r="C7" s="217">
        <v>21567146.197991401</v>
      </c>
      <c r="D7" s="217">
        <v>17268915</v>
      </c>
      <c r="E7" s="217">
        <v>6504816</v>
      </c>
      <c r="F7" s="217">
        <v>5142779.7991573056</v>
      </c>
      <c r="G7" s="184"/>
    </row>
    <row r="8" spans="1:12" ht="15.75" customHeight="1">
      <c r="A8" s="9" t="s">
        <v>4</v>
      </c>
      <c r="B8" s="153"/>
      <c r="C8" s="219"/>
      <c r="D8" s="219"/>
      <c r="E8" s="219"/>
      <c r="F8" s="219"/>
      <c r="G8" s="184"/>
    </row>
    <row r="9" spans="1:12" ht="15.75" customHeight="1">
      <c r="A9" s="9" t="s">
        <v>5</v>
      </c>
      <c r="B9" s="153"/>
      <c r="C9" s="237">
        <v>715</v>
      </c>
      <c r="D9" s="237">
        <v>523</v>
      </c>
      <c r="E9" s="237">
        <v>192</v>
      </c>
      <c r="F9" s="237">
        <v>222</v>
      </c>
      <c r="G9" s="184"/>
    </row>
    <row r="10" spans="1:12" ht="15.75" customHeight="1">
      <c r="A10" s="9" t="s">
        <v>50</v>
      </c>
      <c r="B10" s="153"/>
      <c r="C10" s="237">
        <v>44.481144944668699</v>
      </c>
      <c r="D10" s="237">
        <v>41.679314814315255</v>
      </c>
      <c r="E10" s="237">
        <v>2.8018301303534443</v>
      </c>
      <c r="F10" s="237">
        <v>6.2833841705227922</v>
      </c>
      <c r="G10" s="184"/>
    </row>
    <row r="11" spans="1:12" ht="15.75" customHeight="1">
      <c r="A11" s="9" t="s">
        <v>6</v>
      </c>
      <c r="B11" s="153"/>
      <c r="C11" s="237">
        <v>59.770826</v>
      </c>
      <c r="D11" s="237">
        <v>26.928118999999999</v>
      </c>
      <c r="E11" s="237">
        <v>32.842706999999997</v>
      </c>
      <c r="F11" s="237">
        <v>24.646464999999999</v>
      </c>
      <c r="G11" s="184"/>
      <c r="H11" s="184"/>
      <c r="I11" s="184"/>
      <c r="J11" s="184"/>
    </row>
    <row r="12" spans="1:12" ht="15.75" customHeight="1">
      <c r="A12" s="9" t="s">
        <v>7</v>
      </c>
      <c r="B12" s="153"/>
      <c r="C12" s="237">
        <v>1606.3451389486302</v>
      </c>
      <c r="D12" s="237">
        <v>943.23746679811507</v>
      </c>
      <c r="E12" s="237">
        <v>663.1076721505151</v>
      </c>
      <c r="F12" s="237">
        <v>360.65509337873306</v>
      </c>
      <c r="G12" s="184"/>
    </row>
    <row r="13" spans="1:12" ht="15.75" customHeight="1">
      <c r="A13" s="9" t="s">
        <v>184</v>
      </c>
      <c r="B13" s="153"/>
      <c r="C13" s="217"/>
      <c r="D13" s="217"/>
      <c r="E13" s="217"/>
      <c r="F13" s="217"/>
      <c r="G13" s="184"/>
    </row>
    <row r="14" spans="1:12" ht="15.75" customHeight="1">
      <c r="A14" s="9" t="s">
        <v>8</v>
      </c>
      <c r="B14" s="153"/>
      <c r="C14" s="238">
        <v>301451565.19757921</v>
      </c>
      <c r="D14" s="238">
        <v>177708280.7155571</v>
      </c>
      <c r="E14" s="238">
        <v>123743284.48202208</v>
      </c>
      <c r="F14" s="238">
        <v>85624552.609469548</v>
      </c>
      <c r="G14" s="184"/>
    </row>
    <row r="15" spans="1:12" ht="15.75" customHeight="1">
      <c r="A15" s="9" t="s">
        <v>82</v>
      </c>
      <c r="B15" s="153"/>
      <c r="C15" s="237">
        <v>75.110263856853749</v>
      </c>
      <c r="D15" s="237">
        <v>23.223035947978346</v>
      </c>
      <c r="E15" s="237">
        <v>51.887227908875403</v>
      </c>
      <c r="F15" s="237">
        <v>61.087560347967148</v>
      </c>
      <c r="G15" s="184"/>
    </row>
    <row r="16" spans="1:12" ht="15.75" customHeight="1">
      <c r="A16" s="9" t="s">
        <v>9</v>
      </c>
      <c r="B16" s="153"/>
      <c r="C16" s="237">
        <v>57.576892617282105</v>
      </c>
      <c r="D16" s="237">
        <v>36.36111527226425</v>
      </c>
      <c r="E16" s="237">
        <v>21.215777345017855</v>
      </c>
      <c r="F16" s="237">
        <v>28.573566724090583</v>
      </c>
      <c r="G16" s="184"/>
      <c r="H16" s="184"/>
      <c r="I16" s="184"/>
      <c r="J16" s="184"/>
      <c r="K16" s="184"/>
      <c r="L16" s="184"/>
    </row>
    <row r="17" spans="1:8" ht="5.0999999999999996" customHeight="1">
      <c r="A17" s="29"/>
      <c r="B17" s="157"/>
      <c r="C17" s="203"/>
      <c r="D17" s="203"/>
      <c r="E17" s="203"/>
      <c r="F17" s="203"/>
      <c r="G17" s="184"/>
    </row>
    <row r="18" spans="1:8">
      <c r="A18" s="22" t="s">
        <v>10</v>
      </c>
      <c r="B18" s="151"/>
      <c r="C18" s="239">
        <v>3443376567.1532121</v>
      </c>
      <c r="D18" s="239">
        <v>2043077458.382813</v>
      </c>
      <c r="E18" s="239">
        <v>1429629229.797848</v>
      </c>
      <c r="F18" s="239">
        <v>1188587779.7991574</v>
      </c>
      <c r="G18" s="184"/>
    </row>
    <row r="19" spans="1:8" ht="6" customHeight="1">
      <c r="A19" s="12"/>
      <c r="B19" s="151"/>
      <c r="C19" s="240"/>
      <c r="D19" s="240"/>
      <c r="E19" s="240"/>
      <c r="F19" s="240"/>
      <c r="G19" s="240"/>
      <c r="H19" s="240"/>
    </row>
    <row r="20" spans="1:8" ht="12.75" customHeight="1">
      <c r="A20" s="217" t="s">
        <v>77</v>
      </c>
      <c r="C20" s="29"/>
      <c r="D20" s="29"/>
      <c r="E20" s="29"/>
      <c r="F20" s="29"/>
      <c r="G20" s="29"/>
      <c r="H20" s="29"/>
    </row>
    <row r="21" spans="1:8" ht="12.75" customHeight="1">
      <c r="A21" s="217" t="s">
        <v>78</v>
      </c>
      <c r="C21" s="29"/>
      <c r="D21" s="29"/>
      <c r="E21" s="29"/>
      <c r="F21" s="29"/>
      <c r="G21" s="29"/>
      <c r="H21" s="29"/>
    </row>
    <row r="22" spans="1:8" ht="12.75" customHeight="1">
      <c r="A22" s="217" t="s">
        <v>193</v>
      </c>
      <c r="C22" s="29"/>
      <c r="D22" s="29"/>
      <c r="E22" s="29"/>
      <c r="F22" s="29"/>
      <c r="G22" s="29"/>
      <c r="H22" s="29"/>
    </row>
    <row r="23" spans="1:8" ht="12.75" customHeight="1">
      <c r="C23" s="29"/>
      <c r="D23" s="29"/>
      <c r="E23" s="29"/>
      <c r="F23" s="29"/>
      <c r="G23" s="29"/>
      <c r="H23" s="29"/>
    </row>
    <row r="24" spans="1:8" ht="15" customHeight="1">
      <c r="A24" s="12" t="s">
        <v>59</v>
      </c>
      <c r="C24" s="29"/>
      <c r="D24" s="29"/>
      <c r="E24" s="29"/>
      <c r="F24" s="29"/>
      <c r="G24" s="29"/>
    </row>
    <row r="25" spans="1:8" ht="15" customHeight="1">
      <c r="A25" s="12" t="s">
        <v>415</v>
      </c>
      <c r="C25" s="29"/>
      <c r="D25" s="29"/>
      <c r="E25" s="29"/>
      <c r="F25" s="29"/>
      <c r="G25" s="29"/>
      <c r="H25" s="29"/>
    </row>
    <row r="26" spans="1:8" ht="8.1" customHeight="1">
      <c r="A26" s="12"/>
      <c r="C26" s="29"/>
      <c r="D26" s="29"/>
      <c r="E26" s="29"/>
      <c r="F26" s="29"/>
      <c r="G26" s="29"/>
      <c r="H26" s="29"/>
    </row>
    <row r="27" spans="1:8" ht="30" customHeight="1">
      <c r="A27" s="16" t="s">
        <v>0</v>
      </c>
      <c r="B27" s="152"/>
      <c r="C27" s="16" t="s">
        <v>28</v>
      </c>
      <c r="D27" s="16" t="s">
        <v>29</v>
      </c>
      <c r="E27" s="16" t="s">
        <v>30</v>
      </c>
      <c r="F27" s="16" t="s">
        <v>31</v>
      </c>
      <c r="G27" s="29"/>
      <c r="H27" s="29"/>
    </row>
    <row r="28" spans="1:8" ht="8.1" customHeight="1">
      <c r="A28" s="18"/>
      <c r="B28" s="152"/>
      <c r="C28" s="18"/>
      <c r="D28" s="18"/>
      <c r="E28" s="18"/>
      <c r="F28" s="18"/>
    </row>
    <row r="29" spans="1:8" hidden="1">
      <c r="A29" s="9" t="s">
        <v>3</v>
      </c>
      <c r="B29" s="153"/>
      <c r="C29" s="217"/>
      <c r="D29" s="217"/>
      <c r="E29" s="217"/>
      <c r="F29" s="217"/>
    </row>
    <row r="30" spans="1:8">
      <c r="A30" s="9" t="s">
        <v>4</v>
      </c>
      <c r="B30" s="153"/>
      <c r="C30" s="237">
        <v>862</v>
      </c>
      <c r="D30" s="237">
        <v>446</v>
      </c>
      <c r="E30" s="237">
        <v>471</v>
      </c>
      <c r="F30" s="237">
        <v>391</v>
      </c>
    </row>
    <row r="31" spans="1:8">
      <c r="A31" s="9" t="s">
        <v>5</v>
      </c>
      <c r="B31" s="153"/>
      <c r="C31" s="237">
        <v>701</v>
      </c>
      <c r="D31" s="237">
        <v>518</v>
      </c>
      <c r="E31" s="237">
        <v>183</v>
      </c>
      <c r="F31" s="237">
        <v>167</v>
      </c>
    </row>
    <row r="32" spans="1:8">
      <c r="A32" s="9" t="s">
        <v>50</v>
      </c>
      <c r="B32" s="153"/>
      <c r="C32" s="241">
        <v>52.259754592896016</v>
      </c>
      <c r="D32" s="241">
        <v>49.166790020045511</v>
      </c>
      <c r="E32" s="241">
        <f>+C32-D32</f>
        <v>3.0929645728505051</v>
      </c>
      <c r="F32" s="241">
        <v>6.7150578128623701</v>
      </c>
    </row>
    <row r="33" spans="1:6">
      <c r="A33" s="9" t="s">
        <v>6</v>
      </c>
      <c r="B33" s="153"/>
      <c r="C33" s="237">
        <v>66.236255999999997</v>
      </c>
      <c r="D33" s="237">
        <v>30.172425</v>
      </c>
      <c r="E33" s="237">
        <v>36.063831</v>
      </c>
      <c r="F33" s="237">
        <v>27.002445000000002</v>
      </c>
    </row>
    <row r="34" spans="1:6">
      <c r="A34" s="9" t="s">
        <v>7</v>
      </c>
      <c r="B34" s="153"/>
      <c r="C34" s="242">
        <v>1496645784.8497231</v>
      </c>
      <c r="D34" s="242">
        <v>772788039.33436584</v>
      </c>
      <c r="E34" s="242">
        <v>723857745.51535714</v>
      </c>
      <c r="F34" s="242">
        <v>452889212.38205826</v>
      </c>
    </row>
    <row r="35" spans="1:6">
      <c r="A35" s="9" t="s">
        <v>184</v>
      </c>
      <c r="B35" s="153"/>
      <c r="C35" s="217"/>
      <c r="D35" s="217"/>
      <c r="E35" s="217"/>
      <c r="F35" s="217"/>
    </row>
    <row r="36" spans="1:6">
      <c r="A36" s="9" t="s">
        <v>8</v>
      </c>
      <c r="B36" s="153"/>
      <c r="C36" s="238">
        <v>361801716.36498517</v>
      </c>
      <c r="D36" s="238">
        <v>204819831.31305638</v>
      </c>
      <c r="E36" s="238">
        <v>156981885.05192879</v>
      </c>
      <c r="F36" s="238">
        <v>115161597.29970327</v>
      </c>
    </row>
    <row r="37" spans="1:6">
      <c r="A37" s="9" t="s">
        <v>82</v>
      </c>
      <c r="B37" s="153"/>
      <c r="C37" s="242">
        <v>83615256.986417264</v>
      </c>
      <c r="D37" s="242">
        <v>23989590.583247043</v>
      </c>
      <c r="E37" s="242">
        <v>59625666.403170213</v>
      </c>
      <c r="F37" s="242">
        <v>56592933.566654503</v>
      </c>
    </row>
    <row r="38" spans="1:6">
      <c r="A38" s="9" t="s">
        <v>9</v>
      </c>
      <c r="B38" s="153"/>
      <c r="C38" s="237"/>
      <c r="D38" s="237"/>
      <c r="E38" s="237"/>
      <c r="F38" s="237"/>
    </row>
    <row r="39" spans="1:6" ht="8.1" customHeight="1">
      <c r="A39" s="29"/>
      <c r="B39" s="157"/>
      <c r="C39" s="203"/>
      <c r="D39" s="203"/>
      <c r="E39" s="203"/>
      <c r="F39" s="203"/>
    </row>
    <row r="40" spans="1:6">
      <c r="A40" s="22" t="s">
        <v>10</v>
      </c>
      <c r="B40" s="151"/>
      <c r="C40" s="239"/>
      <c r="D40" s="239"/>
      <c r="E40" s="239"/>
      <c r="F40" s="239"/>
    </row>
    <row r="43" spans="1:6">
      <c r="A43" s="12" t="s">
        <v>59</v>
      </c>
      <c r="C43" s="29"/>
      <c r="D43" s="29"/>
      <c r="E43" s="29"/>
      <c r="F43" s="29"/>
    </row>
    <row r="44" spans="1:6">
      <c r="A44" s="12" t="s">
        <v>416</v>
      </c>
      <c r="C44" s="29"/>
      <c r="D44" s="29"/>
      <c r="E44" s="29"/>
      <c r="F44" s="29"/>
    </row>
    <row r="45" spans="1:6" ht="8.1" customHeight="1">
      <c r="A45" s="12"/>
      <c r="C45" s="29"/>
      <c r="D45" s="29"/>
      <c r="E45" s="29"/>
      <c r="F45" s="29"/>
    </row>
    <row r="46" spans="1:6" ht="30">
      <c r="A46" s="16" t="s">
        <v>0</v>
      </c>
      <c r="B46" s="152"/>
      <c r="C46" s="16" t="s">
        <v>28</v>
      </c>
      <c r="D46" s="16" t="s">
        <v>29</v>
      </c>
      <c r="E46" s="16" t="s">
        <v>30</v>
      </c>
      <c r="F46" s="16" t="s">
        <v>31</v>
      </c>
    </row>
    <row r="47" spans="1:6" ht="8.1" customHeight="1">
      <c r="A47" s="18"/>
      <c r="B47" s="152"/>
      <c r="C47" s="18"/>
      <c r="D47" s="18"/>
      <c r="E47" s="18"/>
      <c r="F47" s="18"/>
    </row>
    <row r="48" spans="1:6" hidden="1">
      <c r="A48" s="9" t="s">
        <v>3</v>
      </c>
      <c r="B48" s="153"/>
      <c r="C48" s="217"/>
      <c r="D48" s="217"/>
      <c r="E48" s="217"/>
      <c r="F48" s="217"/>
    </row>
    <row r="49" spans="1:6">
      <c r="A49" s="9" t="s">
        <v>4</v>
      </c>
      <c r="B49" s="153"/>
      <c r="C49" s="243">
        <v>1055000000</v>
      </c>
      <c r="D49" s="243">
        <v>610000000</v>
      </c>
      <c r="E49" s="243">
        <v>767000000</v>
      </c>
      <c r="F49" s="243">
        <v>604000000</v>
      </c>
    </row>
    <row r="50" spans="1:6">
      <c r="A50" s="9" t="s">
        <v>5</v>
      </c>
      <c r="B50" s="153"/>
      <c r="C50" s="82">
        <v>840</v>
      </c>
      <c r="D50" s="82">
        <v>625</v>
      </c>
      <c r="E50" s="82">
        <v>215</v>
      </c>
      <c r="F50" s="82">
        <v>192</v>
      </c>
    </row>
    <row r="51" spans="1:6">
      <c r="A51" s="9" t="s">
        <v>50</v>
      </c>
      <c r="B51" s="153"/>
      <c r="C51" s="33">
        <v>60.053657186388357</v>
      </c>
      <c r="D51" s="33">
        <v>51.901937632840045</v>
      </c>
      <c r="E51" s="33">
        <v>8.1517195535483111</v>
      </c>
      <c r="F51" s="33">
        <v>11.18065468560161</v>
      </c>
    </row>
    <row r="52" spans="1:6">
      <c r="A52" s="9" t="s">
        <v>6</v>
      </c>
      <c r="B52" s="153"/>
      <c r="C52" s="82">
        <v>57.557843980000001</v>
      </c>
      <c r="D52" s="82">
        <v>28.740903110000001</v>
      </c>
      <c r="E52" s="82">
        <v>28.81694087</v>
      </c>
      <c r="F52" s="82">
        <v>20.187414369999999</v>
      </c>
    </row>
    <row r="53" spans="1:6" ht="17.25">
      <c r="A53" s="9" t="s">
        <v>417</v>
      </c>
      <c r="B53" s="153"/>
      <c r="C53" s="161">
        <v>1761615652.8043008</v>
      </c>
      <c r="D53" s="161">
        <v>702538612.6918509</v>
      </c>
      <c r="E53" s="161">
        <v>1059077040.11245</v>
      </c>
      <c r="F53" s="161">
        <v>762095495.83519697</v>
      </c>
    </row>
    <row r="54" spans="1:6">
      <c r="A54" s="9" t="s">
        <v>184</v>
      </c>
      <c r="B54" s="153"/>
      <c r="C54" s="217"/>
      <c r="D54" s="217"/>
      <c r="E54" s="217"/>
      <c r="F54" s="217"/>
    </row>
    <row r="55" spans="1:6">
      <c r="A55" s="9" t="s">
        <v>8</v>
      </c>
      <c r="B55" s="153"/>
      <c r="C55" s="217">
        <v>436900701.54178107</v>
      </c>
      <c r="D55" s="217">
        <v>231110299.47038057</v>
      </c>
      <c r="E55" s="217">
        <v>205790402.07140055</v>
      </c>
      <c r="F55" s="217">
        <v>146939140.61985093</v>
      </c>
    </row>
    <row r="56" spans="1:6">
      <c r="A56" s="9" t="s">
        <v>82</v>
      </c>
      <c r="B56" s="153"/>
      <c r="C56" s="161">
        <v>126106794.20118797</v>
      </c>
      <c r="D56" s="161">
        <v>25519493.16805917</v>
      </c>
      <c r="E56" s="161">
        <v>100587301.0331288</v>
      </c>
      <c r="F56" s="161">
        <v>93303386.326695815</v>
      </c>
    </row>
    <row r="57" spans="1:6">
      <c r="A57" s="9" t="s">
        <v>9</v>
      </c>
      <c r="B57" s="153"/>
      <c r="C57" s="237"/>
      <c r="D57" s="237"/>
      <c r="E57" s="237"/>
      <c r="F57" s="237"/>
    </row>
    <row r="58" spans="1:6" ht="8.1" customHeight="1">
      <c r="A58" s="29"/>
      <c r="B58" s="157"/>
      <c r="C58" s="203"/>
      <c r="D58" s="203"/>
      <c r="E58" s="203"/>
      <c r="F58" s="203"/>
    </row>
    <row r="59" spans="1:6">
      <c r="A59" s="22" t="s">
        <v>10</v>
      </c>
      <c r="B59" s="151"/>
      <c r="C59" s="239"/>
      <c r="D59" s="239"/>
      <c r="E59" s="239"/>
      <c r="F59" s="239"/>
    </row>
    <row r="60" spans="1:6">
      <c r="A60" s="217" t="s">
        <v>288</v>
      </c>
      <c r="B60" s="12"/>
      <c r="C60" s="244"/>
      <c r="D60" s="244"/>
      <c r="E60" s="244"/>
      <c r="F60" s="244"/>
    </row>
    <row r="61" spans="1:6">
      <c r="A61" s="217" t="s">
        <v>289</v>
      </c>
      <c r="B61" s="12"/>
      <c r="C61" s="244"/>
      <c r="D61" s="244"/>
      <c r="E61" s="244"/>
      <c r="F61" s="244"/>
    </row>
    <row r="62" spans="1:6">
      <c r="A62" s="217" t="s">
        <v>290</v>
      </c>
    </row>
    <row r="63" spans="1:6">
      <c r="A63" s="217"/>
    </row>
    <row r="65" spans="1:6">
      <c r="A65" s="12" t="s">
        <v>59</v>
      </c>
      <c r="C65" s="29"/>
      <c r="D65" s="29"/>
      <c r="E65" s="29"/>
      <c r="F65" s="29"/>
    </row>
    <row r="66" spans="1:6">
      <c r="A66" s="12" t="s">
        <v>418</v>
      </c>
      <c r="C66" s="29"/>
      <c r="D66" s="29"/>
      <c r="E66" s="29"/>
      <c r="F66" s="29"/>
    </row>
    <row r="67" spans="1:6" ht="8.1" customHeight="1">
      <c r="A67" s="12"/>
      <c r="C67" s="29"/>
      <c r="D67" s="29"/>
      <c r="E67" s="29"/>
      <c r="F67" s="29"/>
    </row>
    <row r="68" spans="1:6" ht="30">
      <c r="A68" s="16" t="s">
        <v>0</v>
      </c>
      <c r="B68" s="152"/>
      <c r="C68" s="16" t="s">
        <v>28</v>
      </c>
      <c r="D68" s="16" t="s">
        <v>29</v>
      </c>
      <c r="E68" s="16" t="s">
        <v>30</v>
      </c>
      <c r="F68" s="16" t="s">
        <v>31</v>
      </c>
    </row>
    <row r="69" spans="1:6" ht="8.1" customHeight="1">
      <c r="A69" s="18"/>
      <c r="B69" s="152"/>
      <c r="C69" s="18"/>
      <c r="D69" s="18"/>
      <c r="E69" s="18"/>
      <c r="F69" s="18"/>
    </row>
    <row r="70" spans="1:6" hidden="1">
      <c r="A70" s="9" t="s">
        <v>3</v>
      </c>
      <c r="B70" s="153"/>
      <c r="C70" s="217"/>
      <c r="D70" s="217"/>
      <c r="E70" s="217"/>
      <c r="F70" s="217"/>
    </row>
    <row r="71" spans="1:6">
      <c r="A71" s="9" t="s">
        <v>4</v>
      </c>
      <c r="B71" s="153"/>
      <c r="C71" s="217">
        <v>1036000000</v>
      </c>
      <c r="D71" s="217">
        <v>655000000</v>
      </c>
      <c r="E71" s="217">
        <v>799000000</v>
      </c>
      <c r="F71" s="217">
        <v>652000000</v>
      </c>
    </row>
    <row r="72" spans="1:6">
      <c r="A72" s="9" t="s">
        <v>5</v>
      </c>
      <c r="B72" s="153"/>
      <c r="C72" s="82">
        <v>883</v>
      </c>
      <c r="D72" s="82">
        <v>659</v>
      </c>
      <c r="E72" s="82">
        <v>224</v>
      </c>
      <c r="F72" s="82">
        <v>222</v>
      </c>
    </row>
    <row r="73" spans="1:6">
      <c r="A73" s="9" t="s">
        <v>50</v>
      </c>
      <c r="B73" s="153"/>
      <c r="C73" s="33">
        <v>78.342070050584837</v>
      </c>
      <c r="D73" s="33">
        <v>54.403018080624626</v>
      </c>
      <c r="E73" s="33">
        <v>23.939051969960211</v>
      </c>
      <c r="F73" s="33">
        <v>23.420251702995898</v>
      </c>
    </row>
    <row r="74" spans="1:6">
      <c r="A74" s="9" t="s">
        <v>6</v>
      </c>
      <c r="B74" s="153"/>
      <c r="C74" s="82">
        <v>55.455103219999998</v>
      </c>
      <c r="D74" s="82">
        <v>27.444940389999999</v>
      </c>
      <c r="E74" s="82">
        <v>28.010162829999999</v>
      </c>
      <c r="F74" s="82">
        <v>19.568209580000001</v>
      </c>
    </row>
    <row r="75" spans="1:6" ht="17.25">
      <c r="A75" s="9" t="s">
        <v>417</v>
      </c>
      <c r="B75" s="153"/>
      <c r="C75" s="161">
        <v>1820085510.4499283</v>
      </c>
      <c r="D75" s="161">
        <v>817783818.76141644</v>
      </c>
      <c r="E75" s="161">
        <v>1002301691.6885118</v>
      </c>
      <c r="F75" s="161">
        <v>610674003.26039588</v>
      </c>
    </row>
    <row r="76" spans="1:6">
      <c r="A76" s="9" t="s">
        <v>184</v>
      </c>
      <c r="B76" s="153"/>
      <c r="C76" s="217"/>
      <c r="D76" s="217"/>
      <c r="E76" s="217"/>
      <c r="F76" s="217"/>
    </row>
    <row r="77" spans="1:6">
      <c r="A77" s="9" t="s">
        <v>8</v>
      </c>
      <c r="B77" s="153"/>
      <c r="C77" s="217">
        <v>420520714.6905188</v>
      </c>
      <c r="D77" s="217">
        <v>237819159.70304117</v>
      </c>
      <c r="E77" s="217">
        <v>182701554.98747763</v>
      </c>
      <c r="F77" s="217">
        <v>123067161.61001791</v>
      </c>
    </row>
    <row r="78" spans="1:6">
      <c r="A78" s="9" t="s">
        <v>82</v>
      </c>
      <c r="B78" s="153"/>
      <c r="C78" s="161">
        <v>154863077.46672517</v>
      </c>
      <c r="D78" s="161">
        <v>29928692.233435716</v>
      </c>
      <c r="E78" s="161">
        <v>124934385.23328945</v>
      </c>
      <c r="F78" s="161">
        <v>99596520.696211785</v>
      </c>
    </row>
    <row r="79" spans="1:6">
      <c r="A79" s="9" t="s">
        <v>9</v>
      </c>
      <c r="B79" s="153"/>
      <c r="C79" s="237"/>
      <c r="D79" s="237"/>
      <c r="E79" s="237"/>
      <c r="F79" s="237"/>
    </row>
    <row r="80" spans="1:6" ht="8.1" customHeight="1">
      <c r="A80" s="29"/>
      <c r="B80" s="157"/>
      <c r="C80" s="203"/>
      <c r="D80" s="203"/>
      <c r="E80" s="203"/>
      <c r="F80" s="203"/>
    </row>
    <row r="81" spans="1:6">
      <c r="A81" s="22" t="s">
        <v>10</v>
      </c>
      <c r="B81" s="151"/>
      <c r="C81" s="239"/>
      <c r="D81" s="239"/>
      <c r="E81" s="239"/>
      <c r="F81" s="239"/>
    </row>
    <row r="82" spans="1:6">
      <c r="A82" s="219" t="s">
        <v>288</v>
      </c>
      <c r="B82" s="12"/>
      <c r="C82" s="244"/>
      <c r="D82" s="244"/>
      <c r="E82" s="244"/>
      <c r="F82" s="244"/>
    </row>
    <row r="83" spans="1:6">
      <c r="A83" s="219" t="s">
        <v>289</v>
      </c>
      <c r="B83" s="12"/>
      <c r="C83" s="244"/>
      <c r="D83" s="244"/>
      <c r="E83" s="244"/>
      <c r="F83" s="244"/>
    </row>
    <row r="84" spans="1:6">
      <c r="A84" s="217" t="s">
        <v>290</v>
      </c>
    </row>
    <row r="86" spans="1:6">
      <c r="A86" s="12" t="s">
        <v>59</v>
      </c>
      <c r="C86" s="29"/>
      <c r="D86" s="29"/>
      <c r="E86" s="29"/>
      <c r="F86" s="29"/>
    </row>
    <row r="87" spans="1:6">
      <c r="A87" s="12" t="s">
        <v>419</v>
      </c>
      <c r="C87" s="29"/>
      <c r="D87" s="29"/>
      <c r="E87" s="29"/>
      <c r="F87" s="29"/>
    </row>
    <row r="88" spans="1:6" ht="8.1" customHeight="1">
      <c r="A88" s="12"/>
      <c r="C88" s="29"/>
      <c r="D88" s="29"/>
      <c r="E88" s="29"/>
      <c r="F88" s="29"/>
    </row>
    <row r="89" spans="1:6" ht="30">
      <c r="A89" s="16" t="s">
        <v>0</v>
      </c>
      <c r="B89" s="152"/>
      <c r="C89" s="16" t="s">
        <v>28</v>
      </c>
      <c r="D89" s="16" t="s">
        <v>29</v>
      </c>
      <c r="E89" s="16" t="s">
        <v>30</v>
      </c>
      <c r="F89" s="16" t="s">
        <v>31</v>
      </c>
    </row>
    <row r="90" spans="1:6" ht="8.1" customHeight="1">
      <c r="A90" s="18"/>
      <c r="B90" s="152"/>
      <c r="C90" s="18"/>
      <c r="D90" s="18"/>
      <c r="E90" s="18"/>
      <c r="F90" s="18"/>
    </row>
    <row r="91" spans="1:6" hidden="1">
      <c r="A91" s="9" t="s">
        <v>3</v>
      </c>
      <c r="B91" s="153"/>
      <c r="C91" s="217"/>
      <c r="D91" s="217"/>
      <c r="E91" s="217"/>
      <c r="F91" s="217"/>
    </row>
    <row r="92" spans="1:6">
      <c r="A92" s="9" t="s">
        <v>4</v>
      </c>
      <c r="B92" s="153"/>
      <c r="C92" s="217">
        <v>968000000</v>
      </c>
      <c r="D92" s="217">
        <v>602000000</v>
      </c>
      <c r="E92" s="217">
        <v>696000000</v>
      </c>
      <c r="F92" s="217">
        <v>558000000</v>
      </c>
    </row>
    <row r="93" spans="1:6">
      <c r="A93" s="9" t="s">
        <v>5</v>
      </c>
      <c r="B93" s="153"/>
      <c r="C93" s="82">
        <v>798</v>
      </c>
      <c r="D93" s="82">
        <v>571</v>
      </c>
      <c r="E93" s="82">
        <v>227</v>
      </c>
      <c r="F93" s="82">
        <v>201</v>
      </c>
    </row>
    <row r="94" spans="1:6">
      <c r="A94" s="9" t="s">
        <v>50</v>
      </c>
      <c r="B94" s="153"/>
      <c r="C94" s="33">
        <v>61.774421420430905</v>
      </c>
      <c r="D94" s="33">
        <v>52.070861628827515</v>
      </c>
      <c r="E94" s="33">
        <v>9.7035597916033893</v>
      </c>
      <c r="F94" s="33">
        <v>10.919048012300538</v>
      </c>
    </row>
    <row r="95" spans="1:6">
      <c r="A95" s="9" t="s">
        <v>6</v>
      </c>
      <c r="B95" s="153"/>
      <c r="C95" s="82">
        <v>60.618748199999999</v>
      </c>
      <c r="D95" s="82">
        <v>30.532822409999998</v>
      </c>
      <c r="E95" s="82">
        <v>30.085925790000001</v>
      </c>
      <c r="F95" s="82">
        <v>21.009862900000002</v>
      </c>
    </row>
    <row r="96" spans="1:6" ht="17.25">
      <c r="A96" s="9" t="s">
        <v>417</v>
      </c>
      <c r="B96" s="153"/>
      <c r="C96" s="161">
        <v>1691572790.4839435</v>
      </c>
      <c r="D96" s="161">
        <v>775095988.16937327</v>
      </c>
      <c r="E96" s="161">
        <v>916476802.31457007</v>
      </c>
      <c r="F96" s="161">
        <v>606862306.15816677</v>
      </c>
    </row>
    <row r="97" spans="1:6">
      <c r="A97" s="9" t="s">
        <v>369</v>
      </c>
      <c r="B97" s="153"/>
      <c r="C97" s="245">
        <v>1.1599999999999999</v>
      </c>
      <c r="D97" s="245" t="s">
        <v>346</v>
      </c>
      <c r="E97" s="245" t="s">
        <v>347</v>
      </c>
      <c r="F97" s="245" t="s">
        <v>348</v>
      </c>
    </row>
    <row r="98" spans="1:6">
      <c r="A98" s="9" t="s">
        <v>8</v>
      </c>
      <c r="B98" s="153"/>
      <c r="C98" s="217">
        <v>383756904.7264182</v>
      </c>
      <c r="D98" s="217">
        <v>189818877.67371601</v>
      </c>
      <c r="E98" s="217">
        <v>193938027.05270228</v>
      </c>
      <c r="F98" s="217">
        <v>144084302.64853981</v>
      </c>
    </row>
    <row r="99" spans="1:6">
      <c r="A99" s="9" t="s">
        <v>82</v>
      </c>
      <c r="B99" s="153"/>
      <c r="C99" s="161">
        <v>120584685.71854436</v>
      </c>
      <c r="D99" s="161">
        <v>31221461.208045207</v>
      </c>
      <c r="E99" s="161">
        <v>89363224.510499164</v>
      </c>
      <c r="F99" s="161">
        <v>75092440.225113958</v>
      </c>
    </row>
    <row r="100" spans="1:6">
      <c r="A100" s="9" t="s">
        <v>9</v>
      </c>
      <c r="B100" s="153"/>
      <c r="C100" s="45">
        <v>94.121327489578761</v>
      </c>
      <c r="D100" s="45">
        <v>53.907434370278288</v>
      </c>
      <c r="E100" s="45">
        <v>40.213893119300465</v>
      </c>
      <c r="F100" s="45">
        <v>52.33421738338388</v>
      </c>
    </row>
    <row r="101" spans="1:6" ht="8.1" customHeight="1">
      <c r="A101" s="29"/>
      <c r="B101" s="157"/>
      <c r="C101" s="203"/>
      <c r="D101" s="203"/>
      <c r="E101" s="203"/>
      <c r="F101" s="203"/>
    </row>
    <row r="102" spans="1:6">
      <c r="A102" s="22" t="s">
        <v>10</v>
      </c>
      <c r="B102" s="151"/>
      <c r="C102" s="239"/>
      <c r="D102" s="239"/>
      <c r="E102" s="239"/>
      <c r="F102" s="239"/>
    </row>
    <row r="103" spans="1:6">
      <c r="A103" s="219" t="s">
        <v>288</v>
      </c>
    </row>
    <row r="104" spans="1:6">
      <c r="A104" s="219" t="s">
        <v>289</v>
      </c>
    </row>
    <row r="105" spans="1:6">
      <c r="A105" s="217" t="s">
        <v>290</v>
      </c>
    </row>
    <row r="107" spans="1:6">
      <c r="A107" s="12" t="s">
        <v>59</v>
      </c>
      <c r="C107" s="29"/>
      <c r="D107" s="29"/>
      <c r="E107" s="29"/>
      <c r="F107" s="29"/>
    </row>
    <row r="108" spans="1:6">
      <c r="A108" s="12" t="s">
        <v>420</v>
      </c>
      <c r="C108" s="29"/>
      <c r="D108" s="29"/>
      <c r="E108" s="29"/>
      <c r="F108" s="29"/>
    </row>
    <row r="109" spans="1:6">
      <c r="A109" s="12"/>
      <c r="C109" s="29"/>
      <c r="D109" s="29"/>
      <c r="E109" s="29"/>
      <c r="F109" s="29"/>
    </row>
    <row r="110" spans="1:6" ht="30">
      <c r="A110" s="16" t="s">
        <v>0</v>
      </c>
      <c r="B110" s="152"/>
      <c r="C110" s="16" t="s">
        <v>28</v>
      </c>
      <c r="D110" s="16" t="s">
        <v>29</v>
      </c>
      <c r="E110" s="16" t="s">
        <v>30</v>
      </c>
      <c r="F110" s="16" t="s">
        <v>31</v>
      </c>
    </row>
    <row r="111" spans="1:6">
      <c r="A111" s="18"/>
      <c r="B111" s="152"/>
      <c r="C111" s="18"/>
      <c r="D111" s="18"/>
      <c r="E111" s="18"/>
      <c r="F111" s="18"/>
    </row>
    <row r="112" spans="1:6" hidden="1">
      <c r="A112" s="9" t="s">
        <v>3</v>
      </c>
      <c r="B112" s="153"/>
      <c r="C112" s="217"/>
      <c r="D112" s="217"/>
      <c r="E112" s="217"/>
      <c r="F112" s="217"/>
    </row>
    <row r="113" spans="1:6">
      <c r="A113" s="9" t="s">
        <v>4</v>
      </c>
      <c r="B113" s="153"/>
      <c r="C113" s="217">
        <v>876649652.21816897</v>
      </c>
      <c r="D113" s="217">
        <v>569473872.53654504</v>
      </c>
      <c r="E113" s="217">
        <v>550910950.88642001</v>
      </c>
      <c r="F113" s="217">
        <v>804077258.46127701</v>
      </c>
    </row>
    <row r="114" spans="1:6">
      <c r="A114" s="9" t="s">
        <v>5</v>
      </c>
      <c r="B114" s="153"/>
      <c r="C114" s="82"/>
      <c r="D114" s="82"/>
      <c r="E114" s="82"/>
      <c r="F114" s="82"/>
    </row>
    <row r="115" spans="1:6">
      <c r="A115" s="9" t="s">
        <v>50</v>
      </c>
      <c r="B115" s="153"/>
      <c r="C115" s="33">
        <v>74.467552731511077</v>
      </c>
      <c r="D115" s="33">
        <v>56.628115952927018</v>
      </c>
      <c r="E115" s="33">
        <v>17.839436778584059</v>
      </c>
      <c r="F115" s="33">
        <v>23.309602586757901</v>
      </c>
    </row>
    <row r="116" spans="1:6">
      <c r="A116" s="9" t="s">
        <v>6</v>
      </c>
      <c r="B116" s="153"/>
      <c r="C116" s="82">
        <v>67.169262239999995</v>
      </c>
      <c r="D116" s="82">
        <v>29.511459459999998</v>
      </c>
      <c r="E116" s="82">
        <v>37.657802779999997</v>
      </c>
      <c r="F116" s="82">
        <v>26.106500310000001</v>
      </c>
    </row>
    <row r="117" spans="1:6" ht="17.25">
      <c r="A117" s="9" t="s">
        <v>417</v>
      </c>
      <c r="B117" s="153"/>
      <c r="C117" s="82">
        <v>1520.6598415787855</v>
      </c>
      <c r="D117" s="82">
        <v>617.9205982103</v>
      </c>
      <c r="E117" s="82">
        <v>902.73924336848563</v>
      </c>
      <c r="F117" s="82">
        <v>515.85068422199924</v>
      </c>
    </row>
    <row r="118" spans="1:6">
      <c r="A118" s="9" t="s">
        <v>369</v>
      </c>
      <c r="B118" s="153"/>
      <c r="C118" s="245" t="s">
        <v>366</v>
      </c>
      <c r="D118" s="245" t="s">
        <v>346</v>
      </c>
      <c r="E118" s="245" t="s">
        <v>367</v>
      </c>
      <c r="F118" s="245" t="s">
        <v>368</v>
      </c>
    </row>
    <row r="119" spans="1:6">
      <c r="A119" s="9" t="s">
        <v>8</v>
      </c>
      <c r="B119" s="153"/>
      <c r="C119" s="82">
        <v>378.87511091007565</v>
      </c>
      <c r="D119" s="82">
        <v>180.77917849215845</v>
      </c>
      <c r="E119" s="82">
        <v>198.09593241791723</v>
      </c>
      <c r="F119" s="82">
        <v>147.12012780006771</v>
      </c>
    </row>
    <row r="120" spans="1:6">
      <c r="A120" s="9" t="s">
        <v>82</v>
      </c>
      <c r="B120" s="153"/>
      <c r="C120" s="161">
        <v>111713620.35078853</v>
      </c>
      <c r="D120" s="161">
        <v>32575828.857382983</v>
      </c>
      <c r="E120" s="161">
        <v>79137791.493405551</v>
      </c>
      <c r="F120" s="161">
        <v>68079002.894856825</v>
      </c>
    </row>
    <row r="121" spans="1:6">
      <c r="A121" s="9" t="s">
        <v>9</v>
      </c>
      <c r="B121" s="153"/>
      <c r="C121" s="45">
        <v>84.412084515069026</v>
      </c>
      <c r="D121" s="45">
        <v>50.410465342152648</v>
      </c>
      <c r="E121" s="45">
        <v>34.001619172916378</v>
      </c>
      <c r="F121" s="45">
        <v>44.566914993846282</v>
      </c>
    </row>
    <row r="122" spans="1:6">
      <c r="A122" s="29"/>
      <c r="B122" s="157"/>
      <c r="C122" s="203"/>
      <c r="D122" s="203"/>
      <c r="E122" s="203"/>
      <c r="F122" s="203"/>
    </row>
    <row r="123" spans="1:6">
      <c r="A123" s="22" t="s">
        <v>10</v>
      </c>
      <c r="B123" s="151"/>
      <c r="C123" s="239"/>
      <c r="D123" s="239"/>
      <c r="E123" s="239"/>
      <c r="F123" s="239"/>
    </row>
    <row r="124" spans="1:6">
      <c r="A124" s="217" t="s">
        <v>78</v>
      </c>
    </row>
    <row r="125" spans="1:6">
      <c r="A125" s="217" t="s">
        <v>288</v>
      </c>
    </row>
    <row r="126" spans="1:6">
      <c r="A126" s="217" t="s">
        <v>289</v>
      </c>
    </row>
    <row r="127" spans="1:6">
      <c r="A127" s="217" t="s">
        <v>290</v>
      </c>
    </row>
    <row r="128" spans="1:6">
      <c r="A128" s="217" t="s">
        <v>362</v>
      </c>
    </row>
    <row r="130" spans="1:6">
      <c r="A130" s="12" t="s">
        <v>59</v>
      </c>
      <c r="C130" s="29"/>
      <c r="D130" s="29"/>
      <c r="E130" s="29"/>
      <c r="F130" s="29"/>
    </row>
    <row r="131" spans="1:6">
      <c r="A131" s="12" t="s">
        <v>421</v>
      </c>
      <c r="C131" s="29"/>
      <c r="D131" s="29"/>
      <c r="E131" s="29"/>
      <c r="F131" s="29"/>
    </row>
    <row r="132" spans="1:6">
      <c r="A132" s="12"/>
      <c r="C132" s="29"/>
      <c r="D132" s="29"/>
      <c r="E132" s="29"/>
      <c r="F132" s="29"/>
    </row>
    <row r="133" spans="1:6" ht="30">
      <c r="A133" s="16" t="s">
        <v>0</v>
      </c>
      <c r="B133" s="152"/>
      <c r="C133" s="16" t="s">
        <v>28</v>
      </c>
      <c r="D133" s="16" t="s">
        <v>29</v>
      </c>
      <c r="E133" s="16" t="s">
        <v>30</v>
      </c>
      <c r="F133" s="16" t="s">
        <v>31</v>
      </c>
    </row>
    <row r="134" spans="1:6">
      <c r="A134" s="18"/>
      <c r="B134" s="152"/>
      <c r="C134" s="18"/>
      <c r="D134" s="18"/>
      <c r="E134" s="18"/>
      <c r="F134" s="18"/>
    </row>
    <row r="135" spans="1:6" hidden="1">
      <c r="A135" s="9" t="s">
        <v>3</v>
      </c>
      <c r="B135" s="153"/>
      <c r="C135" s="217"/>
      <c r="D135" s="217"/>
      <c r="E135" s="217"/>
      <c r="F135" s="217"/>
    </row>
    <row r="136" spans="1:6">
      <c r="A136" s="9" t="s">
        <v>4</v>
      </c>
      <c r="B136" s="153"/>
      <c r="C136" s="217">
        <v>975617133.480196</v>
      </c>
      <c r="D136" s="217">
        <v>597391054.86370242</v>
      </c>
      <c r="E136" s="217">
        <v>628713081.2690134</v>
      </c>
      <c r="F136" s="217">
        <v>529274789.07221746</v>
      </c>
    </row>
    <row r="137" spans="1:6">
      <c r="A137" s="9" t="s">
        <v>5</v>
      </c>
      <c r="B137" s="153"/>
      <c r="C137" s="82">
        <v>625</v>
      </c>
      <c r="D137" s="82">
        <v>484</v>
      </c>
      <c r="E137" s="82">
        <v>141</v>
      </c>
      <c r="F137" s="82">
        <v>104</v>
      </c>
    </row>
    <row r="138" spans="1:6">
      <c r="A138" s="9" t="s">
        <v>50</v>
      </c>
      <c r="B138" s="153"/>
      <c r="C138" s="33">
        <v>77.188000000000002</v>
      </c>
      <c r="D138" s="33">
        <v>55.7</v>
      </c>
      <c r="E138" s="33">
        <f>+C138-D138</f>
        <v>21.488</v>
      </c>
      <c r="F138" s="33">
        <v>12.061</v>
      </c>
    </row>
    <row r="139" spans="1:6">
      <c r="A139" s="9" t="s">
        <v>6</v>
      </c>
      <c r="B139" s="153"/>
      <c r="C139" s="82">
        <v>74.023880719999994</v>
      </c>
      <c r="D139" s="82">
        <v>30.967632080000001</v>
      </c>
      <c r="E139" s="82">
        <v>43.05624864</v>
      </c>
      <c r="F139" s="82">
        <v>28.587342599999999</v>
      </c>
    </row>
    <row r="140" spans="1:6" ht="17.25">
      <c r="A140" s="9" t="s">
        <v>417</v>
      </c>
      <c r="B140" s="153"/>
      <c r="C140" s="33">
        <v>1310.8020631560569</v>
      </c>
      <c r="D140" s="33">
        <v>538.73550170373539</v>
      </c>
      <c r="E140" s="33">
        <v>772.06656145232171</v>
      </c>
      <c r="F140" s="33">
        <v>452.22338430313209</v>
      </c>
    </row>
    <row r="141" spans="1:6">
      <c r="A141" s="9" t="s">
        <v>369</v>
      </c>
      <c r="B141" s="153"/>
      <c r="C141" s="63">
        <v>1.5379323199999999</v>
      </c>
      <c r="D141" s="63">
        <v>0.57621303000000001</v>
      </c>
      <c r="E141" s="63">
        <v>0.51417100000000004</v>
      </c>
      <c r="F141" s="63">
        <v>0.71523828999999983</v>
      </c>
    </row>
    <row r="142" spans="1:6">
      <c r="A142" s="9" t="s">
        <v>8</v>
      </c>
      <c r="B142" s="153"/>
      <c r="C142" s="82">
        <v>366.48499892521045</v>
      </c>
      <c r="D142" s="82">
        <v>179.37518403987323</v>
      </c>
      <c r="E142" s="82">
        <v>187.10981488533719</v>
      </c>
      <c r="F142" s="82">
        <v>132.6605599845922</v>
      </c>
    </row>
    <row r="143" spans="1:6">
      <c r="A143" s="9" t="s">
        <v>82</v>
      </c>
      <c r="B143" s="153"/>
      <c r="C143" s="130">
        <v>151.29623490039168</v>
      </c>
      <c r="D143" s="130">
        <v>50.356305212149366</v>
      </c>
      <c r="E143" s="130">
        <v>100.93992968824232</v>
      </c>
      <c r="F143" s="130">
        <v>91.035883742781436</v>
      </c>
    </row>
    <row r="144" spans="1:6">
      <c r="A144" s="9" t="s">
        <v>9</v>
      </c>
      <c r="B144" s="153"/>
      <c r="C144" s="45">
        <v>103.37147094756361</v>
      </c>
      <c r="D144" s="45">
        <v>50.686158856336228</v>
      </c>
      <c r="E144" s="45">
        <v>39.716319008012839</v>
      </c>
      <c r="F144" s="45">
        <v>40.552264758715168</v>
      </c>
    </row>
    <row r="145" spans="1:6">
      <c r="A145" s="29"/>
      <c r="B145" s="157"/>
      <c r="C145" s="203"/>
      <c r="D145" s="203"/>
      <c r="E145" s="203"/>
      <c r="F145" s="203"/>
    </row>
    <row r="146" spans="1:6">
      <c r="A146" s="22" t="s">
        <v>10</v>
      </c>
      <c r="B146" s="151"/>
      <c r="C146" s="239"/>
      <c r="D146" s="239"/>
      <c r="E146" s="239"/>
      <c r="F146" s="239"/>
    </row>
    <row r="147" spans="1:6">
      <c r="A147" s="217" t="s">
        <v>78</v>
      </c>
    </row>
    <row r="148" spans="1:6">
      <c r="A148" s="217" t="s">
        <v>288</v>
      </c>
    </row>
    <row r="149" spans="1:6">
      <c r="A149" s="217" t="s">
        <v>289</v>
      </c>
    </row>
    <row r="150" spans="1:6">
      <c r="A150" s="217" t="s">
        <v>290</v>
      </c>
    </row>
    <row r="151" spans="1:6">
      <c r="A151" s="217" t="s">
        <v>362</v>
      </c>
    </row>
    <row r="153" spans="1:6">
      <c r="A153" s="12" t="s">
        <v>59</v>
      </c>
      <c r="C153" s="29"/>
      <c r="D153" s="29"/>
      <c r="E153" s="29"/>
      <c r="F153" s="29"/>
    </row>
    <row r="154" spans="1:6">
      <c r="A154" s="12" t="s">
        <v>422</v>
      </c>
      <c r="C154" s="29"/>
      <c r="D154" s="29"/>
      <c r="E154" s="29"/>
      <c r="F154" s="29"/>
    </row>
    <row r="155" spans="1:6">
      <c r="A155" s="12"/>
      <c r="C155" s="29"/>
      <c r="D155" s="29"/>
      <c r="E155" s="29"/>
      <c r="F155" s="29"/>
    </row>
    <row r="156" spans="1:6" ht="30">
      <c r="A156" s="16" t="s">
        <v>0</v>
      </c>
      <c r="B156" s="152"/>
      <c r="C156" s="16" t="s">
        <v>28</v>
      </c>
      <c r="D156" s="16" t="s">
        <v>29</v>
      </c>
      <c r="E156" s="16" t="s">
        <v>30</v>
      </c>
      <c r="F156" s="16" t="s">
        <v>31</v>
      </c>
    </row>
    <row r="157" spans="1:6">
      <c r="A157" s="18"/>
      <c r="B157" s="152"/>
      <c r="C157" s="18"/>
      <c r="D157" s="18"/>
      <c r="E157" s="18"/>
      <c r="F157" s="18"/>
    </row>
    <row r="158" spans="1:6">
      <c r="A158" s="9" t="s">
        <v>3</v>
      </c>
      <c r="B158" s="153"/>
      <c r="C158" s="217"/>
      <c r="D158" s="217"/>
      <c r="E158" s="217"/>
      <c r="F158" s="217"/>
    </row>
    <row r="159" spans="1:6">
      <c r="A159" s="9" t="s">
        <v>4</v>
      </c>
      <c r="B159" s="153"/>
      <c r="C159" s="146">
        <v>1077.5626637625564</v>
      </c>
      <c r="D159" s="146">
        <v>722.27854751145924</v>
      </c>
      <c r="E159" s="146">
        <v>732.10912844185816</v>
      </c>
      <c r="F159" s="146">
        <v>564.83187152563301</v>
      </c>
    </row>
    <row r="160" spans="1:6">
      <c r="A160" s="9" t="s">
        <v>5</v>
      </c>
      <c r="B160" s="153"/>
      <c r="C160" s="146">
        <v>693</v>
      </c>
      <c r="D160" s="146">
        <v>455</v>
      </c>
      <c r="E160" s="146">
        <v>238</v>
      </c>
      <c r="F160" s="146">
        <v>162</v>
      </c>
    </row>
    <row r="161" spans="1:6">
      <c r="A161" s="9" t="s">
        <v>50</v>
      </c>
      <c r="B161" s="153"/>
      <c r="C161" s="146">
        <v>65.794041000000007</v>
      </c>
      <c r="D161" s="146">
        <v>53.289949</v>
      </c>
      <c r="E161" s="146">
        <v>12.504092000000007</v>
      </c>
      <c r="F161" s="146">
        <v>7.9817340000000003</v>
      </c>
    </row>
    <row r="162" spans="1:6">
      <c r="A162" s="9" t="s">
        <v>6</v>
      </c>
      <c r="B162" s="153"/>
      <c r="C162" s="146">
        <v>79.308462000000006</v>
      </c>
      <c r="D162" s="146">
        <v>33.421843000000003</v>
      </c>
      <c r="E162" s="146">
        <v>45.886619000000003</v>
      </c>
      <c r="F162" s="146">
        <v>30.260304000000001</v>
      </c>
    </row>
    <row r="163" spans="1:6" ht="17.25">
      <c r="A163" s="9" t="s">
        <v>417</v>
      </c>
      <c r="B163" s="153"/>
      <c r="C163" s="146">
        <v>1483.834717416556</v>
      </c>
      <c r="D163" s="146">
        <v>623.29147001713886</v>
      </c>
      <c r="E163" s="146">
        <v>860.54324739941717</v>
      </c>
      <c r="F163" s="146">
        <v>536.1149129141686</v>
      </c>
    </row>
    <row r="164" spans="1:6">
      <c r="A164" s="9" t="s">
        <v>369</v>
      </c>
      <c r="B164" s="153"/>
      <c r="C164" s="146">
        <v>1.7</v>
      </c>
      <c r="D164" s="146">
        <v>0.62</v>
      </c>
      <c r="E164" s="146">
        <v>0.59</v>
      </c>
      <c r="F164" s="146">
        <v>1</v>
      </c>
    </row>
    <row r="165" spans="1:6">
      <c r="A165" s="9" t="s">
        <v>8</v>
      </c>
      <c r="B165" s="153"/>
      <c r="C165" s="146">
        <v>375.02471393809117</v>
      </c>
      <c r="D165" s="146">
        <v>187.83273992525866</v>
      </c>
      <c r="E165" s="146">
        <v>187.19197401283245</v>
      </c>
      <c r="F165" s="146">
        <v>134.24243304868372</v>
      </c>
    </row>
    <row r="166" spans="1:6">
      <c r="A166" s="9" t="s">
        <v>82</v>
      </c>
      <c r="B166" s="153"/>
      <c r="C166" s="146">
        <v>156.70568749418234</v>
      </c>
      <c r="D166" s="146">
        <v>40.866659966941953</v>
      </c>
      <c r="E166" s="146">
        <v>115.83902752724038</v>
      </c>
      <c r="F166" s="146">
        <v>115.85258418865313</v>
      </c>
    </row>
    <row r="167" spans="1:6">
      <c r="A167" s="9" t="s">
        <v>9</v>
      </c>
      <c r="B167" s="153"/>
      <c r="C167" s="146">
        <v>97.724241447642896</v>
      </c>
      <c r="D167" s="146">
        <v>66.094273293005102</v>
      </c>
      <c r="E167" s="146">
        <f>+C167-D167</f>
        <v>31.629968154637794</v>
      </c>
      <c r="F167" s="146">
        <v>57.394101585314978</v>
      </c>
    </row>
    <row r="168" spans="1:6">
      <c r="A168" s="29"/>
      <c r="B168" s="157"/>
      <c r="C168" s="203"/>
      <c r="D168" s="203"/>
      <c r="E168" s="203"/>
      <c r="F168" s="203"/>
    </row>
    <row r="169" spans="1:6">
      <c r="A169" s="22" t="s">
        <v>10</v>
      </c>
      <c r="B169" s="151"/>
      <c r="C169" s="239"/>
      <c r="D169" s="239"/>
      <c r="E169" s="239"/>
      <c r="F169" s="239"/>
    </row>
    <row r="170" spans="1:6">
      <c r="A170" s="217" t="s">
        <v>77</v>
      </c>
    </row>
    <row r="171" spans="1:6">
      <c r="A171" s="217" t="s">
        <v>78</v>
      </c>
    </row>
    <row r="172" spans="1:6">
      <c r="A172" s="217" t="s">
        <v>288</v>
      </c>
    </row>
    <row r="173" spans="1:6">
      <c r="A173" s="217" t="s">
        <v>289</v>
      </c>
    </row>
    <row r="174" spans="1:6">
      <c r="A174" s="217" t="s">
        <v>290</v>
      </c>
    </row>
    <row r="175" spans="1:6">
      <c r="A175" s="217" t="s">
        <v>362</v>
      </c>
    </row>
    <row r="176" spans="1:6">
      <c r="A176" s="246"/>
    </row>
    <row r="177" spans="1:6">
      <c r="A177" s="12" t="s">
        <v>59</v>
      </c>
      <c r="C177" s="29"/>
      <c r="D177" s="29"/>
      <c r="E177" s="29"/>
      <c r="F177" s="29"/>
    </row>
    <row r="178" spans="1:6">
      <c r="A178" s="12" t="s">
        <v>423</v>
      </c>
      <c r="C178" s="29"/>
      <c r="D178" s="29"/>
      <c r="E178" s="29"/>
      <c r="F178" s="29"/>
    </row>
    <row r="179" spans="1:6">
      <c r="A179" s="12"/>
      <c r="C179" s="29"/>
      <c r="D179" s="29"/>
      <c r="E179" s="29"/>
      <c r="F179" s="29"/>
    </row>
    <row r="180" spans="1:6" ht="30">
      <c r="A180" s="16" t="s">
        <v>0</v>
      </c>
      <c r="B180" s="152"/>
      <c r="C180" s="16" t="s">
        <v>28</v>
      </c>
      <c r="D180" s="16" t="s">
        <v>29</v>
      </c>
      <c r="E180" s="16" t="s">
        <v>30</v>
      </c>
      <c r="F180" s="16" t="s">
        <v>31</v>
      </c>
    </row>
    <row r="181" spans="1:6">
      <c r="A181" s="9" t="s">
        <v>4</v>
      </c>
      <c r="B181" s="153"/>
      <c r="C181" s="146">
        <v>1023.9455964581925</v>
      </c>
      <c r="D181" s="146">
        <v>656.32597421265234</v>
      </c>
      <c r="E181" s="146">
        <v>598.65456165820979</v>
      </c>
      <c r="F181" s="146">
        <v>435.87098420273389</v>
      </c>
    </row>
    <row r="182" spans="1:6">
      <c r="A182" s="9" t="s">
        <v>5</v>
      </c>
      <c r="B182" s="153"/>
      <c r="C182" s="146"/>
      <c r="D182" s="146"/>
      <c r="E182" s="146"/>
      <c r="F182" s="146"/>
    </row>
    <row r="183" spans="1:6">
      <c r="A183" s="9" t="s">
        <v>50</v>
      </c>
      <c r="B183" s="153"/>
      <c r="C183" s="146">
        <v>70.700100000000006</v>
      </c>
      <c r="D183" s="146">
        <v>52.885179999999998</v>
      </c>
      <c r="E183" s="146">
        <f>+C183-D183</f>
        <v>17.814920000000008</v>
      </c>
      <c r="F183" s="146">
        <v>10.834638</v>
      </c>
    </row>
    <row r="184" spans="1:6">
      <c r="A184" s="9" t="s">
        <v>6</v>
      </c>
      <c r="B184" s="153"/>
      <c r="C184" s="146">
        <v>76.166829000000007</v>
      </c>
      <c r="D184" s="146">
        <v>34.812694999999998</v>
      </c>
      <c r="E184" s="146">
        <v>41.354134000000002</v>
      </c>
      <c r="F184" s="146">
        <v>27.338802999999999</v>
      </c>
    </row>
    <row r="185" spans="1:6" ht="17.25">
      <c r="A185" s="9" t="s">
        <v>417</v>
      </c>
      <c r="B185" s="153"/>
      <c r="C185" s="146">
        <v>1635.2762713076047</v>
      </c>
      <c r="D185" s="146">
        <v>701.98991523672862</v>
      </c>
      <c r="E185" s="146">
        <v>933.2863560708762</v>
      </c>
      <c r="F185" s="146">
        <v>546.04503590620436</v>
      </c>
    </row>
    <row r="186" spans="1:6">
      <c r="A186" s="9" t="s">
        <v>369</v>
      </c>
      <c r="B186" s="153"/>
      <c r="C186" s="146">
        <v>1.81</v>
      </c>
      <c r="D186" s="146">
        <v>0.67500000000000004</v>
      </c>
      <c r="E186" s="146">
        <v>1.1299999999999999</v>
      </c>
      <c r="F186" s="146">
        <v>0.91300000000000003</v>
      </c>
    </row>
    <row r="187" spans="1:6">
      <c r="A187" s="9" t="s">
        <v>8</v>
      </c>
      <c r="B187" s="153"/>
      <c r="C187" s="146">
        <v>395.12576844136902</v>
      </c>
      <c r="D187" s="146">
        <v>184.53190971814149</v>
      </c>
      <c r="E187" s="146">
        <v>210.5938587232275</v>
      </c>
      <c r="F187" s="146">
        <v>148.40100623087679</v>
      </c>
    </row>
    <row r="188" spans="1:6">
      <c r="A188" s="9" t="s">
        <v>82</v>
      </c>
      <c r="B188" s="153"/>
      <c r="C188" s="146">
        <v>95.39998650819274</v>
      </c>
      <c r="D188" s="146">
        <v>40.774777474859796</v>
      </c>
      <c r="E188" s="146">
        <v>54.625209033332929</v>
      </c>
      <c r="F188" s="146">
        <v>54.66048287516989</v>
      </c>
    </row>
    <row r="189" spans="1:6">
      <c r="A189" s="9" t="s">
        <v>9</v>
      </c>
      <c r="B189" s="153"/>
      <c r="C189" s="146">
        <v>95.628020021795749</v>
      </c>
      <c r="D189" s="146">
        <v>57.32741697742275</v>
      </c>
      <c r="E189" s="146">
        <v>38.300603044372998</v>
      </c>
      <c r="F189" s="146">
        <v>48.230936843727775</v>
      </c>
    </row>
    <row r="190" spans="1:6">
      <c r="A190" s="22" t="s">
        <v>10</v>
      </c>
      <c r="B190" s="151"/>
      <c r="C190" s="239"/>
      <c r="D190" s="239"/>
      <c r="E190" s="239"/>
      <c r="F190" s="239"/>
    </row>
    <row r="191" spans="1:6">
      <c r="A191" s="217" t="s">
        <v>77</v>
      </c>
    </row>
    <row r="192" spans="1:6">
      <c r="A192" s="217" t="s">
        <v>78</v>
      </c>
    </row>
    <row r="193" spans="1:6">
      <c r="A193" s="217" t="s">
        <v>288</v>
      </c>
    </row>
    <row r="194" spans="1:6">
      <c r="A194" s="217" t="s">
        <v>289</v>
      </c>
    </row>
    <row r="195" spans="1:6">
      <c r="A195" s="217" t="s">
        <v>290</v>
      </c>
    </row>
    <row r="196" spans="1:6">
      <c r="A196" s="217" t="s">
        <v>362</v>
      </c>
    </row>
    <row r="197" spans="1:6">
      <c r="A197" s="246"/>
    </row>
    <row r="198" spans="1:6">
      <c r="A198" s="12" t="s">
        <v>59</v>
      </c>
      <c r="C198" s="29"/>
      <c r="D198" s="29"/>
      <c r="E198" s="29"/>
      <c r="F198" s="29"/>
    </row>
    <row r="199" spans="1:6">
      <c r="A199" s="12" t="s">
        <v>445</v>
      </c>
      <c r="C199" s="29"/>
      <c r="D199" s="29"/>
      <c r="E199" s="29"/>
      <c r="F199" s="29"/>
    </row>
    <row r="200" spans="1:6">
      <c r="A200" s="12"/>
      <c r="C200" s="29"/>
      <c r="D200" s="29"/>
      <c r="E200" s="29"/>
      <c r="F200" s="29"/>
    </row>
    <row r="201" spans="1:6" ht="30">
      <c r="A201" s="16" t="s">
        <v>0</v>
      </c>
      <c r="B201" s="152"/>
      <c r="C201" s="16" t="s">
        <v>28</v>
      </c>
      <c r="D201" s="16" t="s">
        <v>29</v>
      </c>
      <c r="E201" s="16" t="s">
        <v>30</v>
      </c>
      <c r="F201" s="16" t="s">
        <v>31</v>
      </c>
    </row>
    <row r="202" spans="1:6">
      <c r="A202" s="9" t="s">
        <v>4</v>
      </c>
      <c r="B202" s="153"/>
      <c r="C202" s="146">
        <v>1052.969521366603</v>
      </c>
      <c r="D202" s="146">
        <v>590.29244178238571</v>
      </c>
      <c r="E202" s="146">
        <v>857.84681582552162</v>
      </c>
      <c r="F202" s="146">
        <v>647.21739410706118</v>
      </c>
    </row>
    <row r="203" spans="1:6">
      <c r="A203" s="9" t="s">
        <v>5</v>
      </c>
      <c r="B203" s="153"/>
      <c r="C203" s="146"/>
      <c r="D203" s="146"/>
      <c r="E203" s="146"/>
      <c r="F203" s="146"/>
    </row>
    <row r="204" spans="1:6">
      <c r="A204" s="9" t="s">
        <v>50</v>
      </c>
      <c r="B204" s="153"/>
      <c r="C204" s="146">
        <v>87.436639999999997</v>
      </c>
      <c r="D204" s="146">
        <v>60.663930000000001</v>
      </c>
      <c r="E204" s="146">
        <f>+C204-D204</f>
        <v>26.772709999999996</v>
      </c>
      <c r="F204" s="146">
        <v>14.748647</v>
      </c>
    </row>
    <row r="205" spans="1:6">
      <c r="A205" s="9" t="s">
        <v>6</v>
      </c>
      <c r="B205" s="153"/>
      <c r="C205" s="146">
        <v>72.371891000000005</v>
      </c>
      <c r="D205" s="146">
        <v>38.269331999999999</v>
      </c>
      <c r="E205" s="146">
        <v>34.102558999999999</v>
      </c>
      <c r="F205" s="146">
        <v>22.547605000000001</v>
      </c>
    </row>
    <row r="206" spans="1:6" ht="17.25">
      <c r="A206" s="9" t="s">
        <v>458</v>
      </c>
      <c r="B206" s="153"/>
      <c r="C206" s="358">
        <v>1809.0051695359462</v>
      </c>
      <c r="D206" s="358">
        <v>783.12721848262856</v>
      </c>
      <c r="E206" s="358">
        <v>1025.8779510533177</v>
      </c>
      <c r="F206" s="358">
        <v>729.05833546241047</v>
      </c>
    </row>
    <row r="207" spans="1:6">
      <c r="A207" s="9" t="s">
        <v>369</v>
      </c>
      <c r="B207" s="153"/>
      <c r="C207" s="146">
        <v>1.76</v>
      </c>
      <c r="D207" s="146">
        <v>0.99</v>
      </c>
      <c r="E207" s="146">
        <v>0.63</v>
      </c>
      <c r="F207" s="146">
        <v>0.56000000000000005</v>
      </c>
    </row>
    <row r="208" spans="1:6">
      <c r="A208" s="9" t="s">
        <v>8</v>
      </c>
      <c r="B208" s="153"/>
      <c r="C208" s="146">
        <v>387.26076598204668</v>
      </c>
      <c r="D208" s="146">
        <v>183.08704128681813</v>
      </c>
      <c r="E208" s="146">
        <v>204.17372469522857</v>
      </c>
      <c r="F208" s="146">
        <v>150.3601848486137</v>
      </c>
    </row>
    <row r="209" spans="1:6">
      <c r="A209" s="9" t="s">
        <v>82</v>
      </c>
      <c r="B209" s="153"/>
      <c r="C209" s="146">
        <v>184.78273014264755</v>
      </c>
      <c r="D209" s="146">
        <v>48.151376516323559</v>
      </c>
      <c r="E209" s="146">
        <v>13.663135362632399</v>
      </c>
      <c r="F209" s="146">
        <v>11.181906523597164</v>
      </c>
    </row>
    <row r="210" spans="1:6">
      <c r="A210" s="9" t="s">
        <v>9</v>
      </c>
      <c r="B210" s="153"/>
      <c r="C210" s="146">
        <v>74.906050782086993</v>
      </c>
      <c r="D210" s="146">
        <v>48.749792211270623</v>
      </c>
      <c r="E210" s="146">
        <v>26.15625857081637</v>
      </c>
      <c r="F210" s="146">
        <v>40.676504365759591</v>
      </c>
    </row>
    <row r="211" spans="1:6">
      <c r="A211" s="22" t="s">
        <v>10</v>
      </c>
      <c r="B211" s="151"/>
      <c r="C211" s="239"/>
      <c r="D211" s="239"/>
      <c r="E211" s="239"/>
      <c r="F211" s="239"/>
    </row>
    <row r="212" spans="1:6">
      <c r="A212" s="217" t="s">
        <v>77</v>
      </c>
    </row>
    <row r="213" spans="1:6">
      <c r="A213" s="217" t="s">
        <v>78</v>
      </c>
    </row>
    <row r="214" spans="1:6">
      <c r="A214" s="217" t="s">
        <v>288</v>
      </c>
    </row>
    <row r="215" spans="1:6">
      <c r="A215" s="217" t="s">
        <v>289</v>
      </c>
    </row>
    <row r="216" spans="1:6">
      <c r="A216" s="217" t="s">
        <v>290</v>
      </c>
    </row>
    <row r="217" spans="1:6">
      <c r="A217" s="217" t="s">
        <v>362</v>
      </c>
    </row>
    <row r="219" spans="1:6">
      <c r="A219" s="12" t="s">
        <v>59</v>
      </c>
      <c r="C219" s="29"/>
      <c r="D219" s="29"/>
      <c r="E219" s="29"/>
      <c r="F219" s="29"/>
    </row>
    <row r="220" spans="1:6">
      <c r="A220" s="12" t="s">
        <v>481</v>
      </c>
      <c r="C220" s="29"/>
      <c r="D220" s="29"/>
      <c r="E220" s="29"/>
      <c r="F220" s="29"/>
    </row>
    <row r="221" spans="1:6">
      <c r="A221" s="12"/>
      <c r="C221" s="29"/>
      <c r="D221" s="29"/>
      <c r="E221" s="29"/>
      <c r="F221" s="29"/>
    </row>
    <row r="222" spans="1:6" ht="30">
      <c r="A222" s="16" t="s">
        <v>0</v>
      </c>
      <c r="B222" s="152"/>
      <c r="C222" s="16" t="s">
        <v>28</v>
      </c>
      <c r="D222" s="16" t="s">
        <v>29</v>
      </c>
      <c r="E222" s="16" t="s">
        <v>30</v>
      </c>
      <c r="F222" s="16" t="s">
        <v>31</v>
      </c>
    </row>
    <row r="223" spans="1:6">
      <c r="A223" s="9" t="s">
        <v>4</v>
      </c>
      <c r="B223" s="153"/>
      <c r="C223" s="146">
        <v>1109.5980667566505</v>
      </c>
      <c r="D223" s="146">
        <v>712.80118947190829</v>
      </c>
      <c r="E223" s="146">
        <v>695.04213767504632</v>
      </c>
      <c r="F223" s="146">
        <v>522.64325684719643</v>
      </c>
    </row>
    <row r="224" spans="1:6">
      <c r="A224" s="9" t="s">
        <v>5</v>
      </c>
      <c r="B224" s="153"/>
      <c r="C224" s="146"/>
      <c r="D224" s="146"/>
      <c r="E224" s="146"/>
      <c r="F224" s="146"/>
    </row>
    <row r="225" spans="1:6">
      <c r="A225" s="9" t="s">
        <v>50</v>
      </c>
      <c r="B225" s="153"/>
      <c r="C225" s="146">
        <v>74.099999999999994</v>
      </c>
      <c r="D225" s="146">
        <v>56.49</v>
      </c>
      <c r="E225" s="146">
        <v>17.609999999999992</v>
      </c>
      <c r="F225" s="146">
        <v>10.86</v>
      </c>
    </row>
    <row r="226" spans="1:6">
      <c r="A226" s="9" t="s">
        <v>6</v>
      </c>
      <c r="B226" s="153"/>
      <c r="C226" s="146">
        <v>64.02883700000001</v>
      </c>
      <c r="D226" s="146">
        <v>39.030316999999997</v>
      </c>
      <c r="E226" s="146">
        <v>24.998520000000006</v>
      </c>
      <c r="F226" s="146">
        <v>16.374617000000001</v>
      </c>
    </row>
    <row r="227" spans="1:6" ht="17.25">
      <c r="A227" s="9" t="s">
        <v>458</v>
      </c>
      <c r="B227" s="153"/>
      <c r="C227" s="358">
        <v>1843.219772915359</v>
      </c>
      <c r="D227" s="358">
        <v>760.79290218045378</v>
      </c>
      <c r="E227" s="358">
        <v>1082.4268707349052</v>
      </c>
      <c r="F227" s="358">
        <v>775.31591869835813</v>
      </c>
    </row>
    <row r="228" spans="1:6">
      <c r="A228" s="9" t="s">
        <v>369</v>
      </c>
      <c r="B228" s="153"/>
      <c r="C228" s="146">
        <v>1.9</v>
      </c>
      <c r="D228" s="146">
        <v>0.85</v>
      </c>
      <c r="E228" s="146">
        <v>0.77</v>
      </c>
      <c r="F228" s="146">
        <v>0.69</v>
      </c>
    </row>
    <row r="229" spans="1:6">
      <c r="A229" s="9" t="s">
        <v>8</v>
      </c>
      <c r="B229" s="153"/>
      <c r="C229" s="146">
        <v>318.89966647702096</v>
      </c>
      <c r="D229" s="146">
        <v>173.01451029646407</v>
      </c>
      <c r="E229" s="146">
        <v>145.88515618055689</v>
      </c>
      <c r="F229" s="146">
        <v>118.55480676292439</v>
      </c>
    </row>
    <row r="230" spans="1:6">
      <c r="A230" s="9" t="s">
        <v>82</v>
      </c>
      <c r="B230" s="153"/>
      <c r="C230" s="146">
        <v>135.05576157791052</v>
      </c>
      <c r="D230" s="146">
        <v>42.179248676239496</v>
      </c>
      <c r="E230" s="146">
        <v>10.232660903379015</v>
      </c>
      <c r="F230" s="146">
        <v>7.5387664983559866</v>
      </c>
    </row>
    <row r="231" spans="1:6">
      <c r="A231" s="9" t="s">
        <v>9</v>
      </c>
      <c r="B231" s="153"/>
      <c r="C231" s="146">
        <v>54.540301794992907</v>
      </c>
      <c r="D231" s="146">
        <v>49.367017170524321</v>
      </c>
      <c r="E231" s="146">
        <v>32.37369494567784</v>
      </c>
      <c r="F231" s="146">
        <v>29.402967194142651</v>
      </c>
    </row>
    <row r="232" spans="1:6">
      <c r="A232" s="22" t="s">
        <v>10</v>
      </c>
      <c r="B232" s="151"/>
      <c r="C232" s="239"/>
      <c r="D232" s="239"/>
      <c r="E232" s="239"/>
      <c r="F232" s="239"/>
    </row>
    <row r="233" spans="1:6">
      <c r="A233" s="217" t="s">
        <v>77</v>
      </c>
    </row>
    <row r="234" spans="1:6">
      <c r="A234" s="217" t="s">
        <v>78</v>
      </c>
    </row>
    <row r="235" spans="1:6">
      <c r="A235" s="217" t="s">
        <v>288</v>
      </c>
    </row>
    <row r="236" spans="1:6">
      <c r="A236" s="217" t="s">
        <v>289</v>
      </c>
    </row>
    <row r="237" spans="1:6">
      <c r="A237" s="217" t="s">
        <v>290</v>
      </c>
    </row>
    <row r="238" spans="1:6">
      <c r="A238" s="217" t="s">
        <v>362</v>
      </c>
    </row>
    <row r="240" spans="1:6">
      <c r="A240" s="12" t="s">
        <v>59</v>
      </c>
      <c r="C240" s="29"/>
      <c r="D240" s="29"/>
      <c r="E240" s="29"/>
      <c r="F240" s="29"/>
    </row>
    <row r="241" spans="1:6">
      <c r="A241" s="12" t="s">
        <v>482</v>
      </c>
      <c r="C241" s="29"/>
      <c r="D241" s="29"/>
      <c r="E241" s="29"/>
      <c r="F241" s="29"/>
    </row>
    <row r="242" spans="1:6">
      <c r="A242" s="12"/>
      <c r="C242" s="29"/>
      <c r="D242" s="29"/>
      <c r="E242" s="29"/>
      <c r="F242" s="29"/>
    </row>
    <row r="243" spans="1:6" ht="30">
      <c r="A243" s="16" t="s">
        <v>0</v>
      </c>
      <c r="B243" s="152"/>
      <c r="C243" s="16" t="s">
        <v>28</v>
      </c>
      <c r="D243" s="16" t="s">
        <v>29</v>
      </c>
      <c r="E243" s="16" t="s">
        <v>30</v>
      </c>
      <c r="F243" s="16" t="s">
        <v>31</v>
      </c>
    </row>
    <row r="244" spans="1:6">
      <c r="A244" s="9" t="s">
        <v>4</v>
      </c>
      <c r="B244" s="153"/>
      <c r="C244" s="146">
        <v>1016.05235518965</v>
      </c>
      <c r="D244" s="146">
        <v>530.82360364598651</v>
      </c>
      <c r="E244" s="146">
        <v>573.94875624816234</v>
      </c>
      <c r="F244" s="146">
        <v>501.23392649220813</v>
      </c>
    </row>
    <row r="245" spans="1:6">
      <c r="A245" s="9" t="s">
        <v>5</v>
      </c>
      <c r="B245" s="153"/>
      <c r="C245" s="146">
        <v>664.55339262501388</v>
      </c>
      <c r="D245" s="146">
        <v>519.24602453405532</v>
      </c>
      <c r="E245" s="146">
        <v>145.30736809095856</v>
      </c>
      <c r="F245" s="146">
        <v>259.81412205538084</v>
      </c>
    </row>
    <row r="246" spans="1:6">
      <c r="A246" s="9" t="s">
        <v>50</v>
      </c>
      <c r="B246" s="153"/>
      <c r="C246" s="146">
        <v>81.099999999999994</v>
      </c>
      <c r="D246" s="146">
        <v>59.18</v>
      </c>
      <c r="E246" s="146">
        <f t="shared" ref="E246" si="0">+C246-D246</f>
        <v>21.919999999999995</v>
      </c>
      <c r="F246" s="146">
        <v>13.29</v>
      </c>
    </row>
    <row r="247" spans="1:6">
      <c r="A247" s="9" t="s">
        <v>6</v>
      </c>
      <c r="B247" s="153"/>
      <c r="C247" s="146">
        <v>67.39</v>
      </c>
      <c r="D247" s="146">
        <v>41.44</v>
      </c>
      <c r="E247" s="146">
        <v>26.13</v>
      </c>
      <c r="F247" s="146">
        <v>18.37</v>
      </c>
    </row>
    <row r="248" spans="1:6" ht="17.25">
      <c r="A248" s="9" t="s">
        <v>458</v>
      </c>
      <c r="B248" s="153"/>
      <c r="C248" s="358">
        <v>1859.7228035368789</v>
      </c>
      <c r="D248" s="358">
        <v>826.95846244527843</v>
      </c>
      <c r="E248" s="358">
        <v>1032.7643410916003</v>
      </c>
      <c r="F248" s="358">
        <v>709.46148463053078</v>
      </c>
    </row>
    <row r="249" spans="1:6">
      <c r="A249" s="9" t="s">
        <v>369</v>
      </c>
      <c r="B249" s="153"/>
      <c r="C249" s="146">
        <v>1.92</v>
      </c>
      <c r="D249" s="146">
        <v>0.82</v>
      </c>
      <c r="E249" s="146">
        <v>0.93</v>
      </c>
      <c r="F249" s="146">
        <v>0.43</v>
      </c>
    </row>
    <row r="250" spans="1:6">
      <c r="A250" s="9" t="s">
        <v>8</v>
      </c>
      <c r="B250" s="153"/>
      <c r="C250" s="146">
        <v>306.03121722780241</v>
      </c>
      <c r="D250" s="146">
        <v>153.26873222376244</v>
      </c>
      <c r="E250" s="146">
        <v>152.76248500403997</v>
      </c>
      <c r="F250" s="146">
        <v>142.73725029921152</v>
      </c>
    </row>
    <row r="251" spans="1:6">
      <c r="A251" s="9" t="s">
        <v>82</v>
      </c>
      <c r="B251" s="153"/>
      <c r="C251" s="146">
        <v>76.928807888156371</v>
      </c>
      <c r="D251" s="146">
        <v>11.186498933238724</v>
      </c>
      <c r="E251" s="146">
        <v>7.284580774428278</v>
      </c>
      <c r="F251" s="146">
        <v>4.5277299854625888</v>
      </c>
    </row>
    <row r="252" spans="1:6">
      <c r="A252" s="9" t="s">
        <v>9</v>
      </c>
      <c r="B252" s="153"/>
      <c r="C252" s="146">
        <v>54.669176643391147</v>
      </c>
      <c r="D252" s="146">
        <v>40.601272507157645</v>
      </c>
      <c r="E252" s="146">
        <v>27.888569376151104</v>
      </c>
      <c r="F252" s="146">
        <v>25.990191119347749</v>
      </c>
    </row>
    <row r="253" spans="1:6">
      <c r="A253" s="22" t="s">
        <v>10</v>
      </c>
      <c r="B253" s="151"/>
      <c r="C253" s="239"/>
      <c r="D253" s="239"/>
      <c r="E253" s="239"/>
      <c r="F253" s="239"/>
    </row>
    <row r="254" spans="1:6">
      <c r="A254" s="217" t="s">
        <v>77</v>
      </c>
    </row>
    <row r="255" spans="1:6">
      <c r="A255" s="217" t="s">
        <v>78</v>
      </c>
    </row>
    <row r="256" spans="1:6">
      <c r="A256" s="217" t="s">
        <v>288</v>
      </c>
    </row>
    <row r="257" spans="1:7">
      <c r="A257" s="217" t="s">
        <v>289</v>
      </c>
    </row>
    <row r="258" spans="1:7">
      <c r="A258" s="217" t="s">
        <v>290</v>
      </c>
    </row>
    <row r="259" spans="1:7">
      <c r="A259" s="217" t="s">
        <v>362</v>
      </c>
    </row>
    <row r="261" spans="1:7">
      <c r="A261" s="12" t="s">
        <v>59</v>
      </c>
      <c r="C261" s="29"/>
      <c r="D261" s="29"/>
      <c r="E261" s="29"/>
      <c r="F261" s="29"/>
    </row>
    <row r="262" spans="1:7">
      <c r="A262" s="12" t="s">
        <v>493</v>
      </c>
      <c r="C262" s="29"/>
      <c r="D262" s="29"/>
      <c r="E262" s="29"/>
      <c r="F262" s="29"/>
    </row>
    <row r="263" spans="1:7">
      <c r="A263" s="12"/>
      <c r="C263" s="29"/>
      <c r="D263" s="29"/>
      <c r="E263" s="29"/>
      <c r="F263" s="29"/>
    </row>
    <row r="264" spans="1:7" ht="30">
      <c r="A264" s="16" t="s">
        <v>0</v>
      </c>
      <c r="B264" s="152"/>
      <c r="C264" s="16" t="s">
        <v>28</v>
      </c>
      <c r="D264" s="16" t="s">
        <v>29</v>
      </c>
      <c r="E264" s="16" t="s">
        <v>30</v>
      </c>
      <c r="F264" s="16" t="s">
        <v>31</v>
      </c>
    </row>
    <row r="265" spans="1:7">
      <c r="A265" s="9" t="s">
        <v>4</v>
      </c>
      <c r="B265" s="153"/>
      <c r="C265" s="146">
        <v>1120.529296924992</v>
      </c>
      <c r="D265" s="146">
        <v>572.39200358343714</v>
      </c>
      <c r="E265" s="146">
        <v>664.1854870798478</v>
      </c>
      <c r="F265" s="146">
        <v>539.90151714348872</v>
      </c>
    </row>
    <row r="266" spans="1:7">
      <c r="A266" s="9" t="s">
        <v>5</v>
      </c>
      <c r="B266" s="153"/>
      <c r="C266" s="146">
        <v>476.5803092077108</v>
      </c>
      <c r="D266" s="146">
        <v>566.40070074593564</v>
      </c>
      <c r="E266" s="146">
        <v>-89.82039153822484</v>
      </c>
      <c r="F266" s="146">
        <v>109.37264960119539</v>
      </c>
    </row>
    <row r="267" spans="1:7">
      <c r="A267" s="9" t="s">
        <v>50</v>
      </c>
      <c r="B267" s="153"/>
      <c r="C267" s="146">
        <v>87.976190000000003</v>
      </c>
      <c r="D267" s="146">
        <v>69.323350000000005</v>
      </c>
      <c r="E267" s="146">
        <f>+C267-D267</f>
        <v>18.652839999999998</v>
      </c>
      <c r="F267" s="146">
        <v>11.031072999999999</v>
      </c>
    </row>
    <row r="268" spans="1:7">
      <c r="A268" s="9" t="s">
        <v>6</v>
      </c>
      <c r="B268" s="153"/>
      <c r="C268" s="146"/>
      <c r="D268" s="146"/>
      <c r="E268" s="146"/>
      <c r="F268" s="146"/>
    </row>
    <row r="269" spans="1:7" ht="17.25">
      <c r="A269" s="9" t="s">
        <v>458</v>
      </c>
      <c r="B269" s="153"/>
      <c r="C269" s="358">
        <v>1406.2656618288268</v>
      </c>
      <c r="D269" s="358">
        <v>774.74089835297752</v>
      </c>
      <c r="E269" s="358">
        <v>631.52476347584957</v>
      </c>
      <c r="F269" s="358">
        <v>292.27853638651368</v>
      </c>
    </row>
    <row r="270" spans="1:7">
      <c r="A270" s="9" t="s">
        <v>369</v>
      </c>
      <c r="B270" s="153"/>
      <c r="C270" s="146">
        <v>1.9</v>
      </c>
      <c r="D270" s="146">
        <v>0.98</v>
      </c>
      <c r="E270" s="146">
        <v>1.1200000000000001</v>
      </c>
      <c r="F270" s="146">
        <v>7.0000000000000007E-2</v>
      </c>
    </row>
    <row r="271" spans="1:7">
      <c r="A271" s="9" t="s">
        <v>8</v>
      </c>
      <c r="B271" s="153"/>
      <c r="C271" s="146">
        <v>306.26831011596289</v>
      </c>
      <c r="D271" s="146">
        <v>154.48910001688509</v>
      </c>
      <c r="E271" s="146">
        <v>151.77921009907783</v>
      </c>
      <c r="F271" s="146">
        <v>123.00448072248842</v>
      </c>
      <c r="G271" s="451"/>
    </row>
    <row r="272" spans="1:7">
      <c r="A272" s="9" t="s">
        <v>82</v>
      </c>
      <c r="B272" s="153"/>
      <c r="C272" s="146">
        <v>161.06388739999562</v>
      </c>
      <c r="D272" s="146">
        <v>58.087714977744746</v>
      </c>
      <c r="E272" s="146">
        <v>107.24824446865148</v>
      </c>
      <c r="F272" s="146">
        <v>85.417416876474348</v>
      </c>
    </row>
    <row r="273" spans="1:6">
      <c r="A273" s="9" t="s">
        <v>9</v>
      </c>
      <c r="B273" s="153"/>
      <c r="C273" s="146">
        <v>74.936770931351575</v>
      </c>
      <c r="D273" s="146">
        <v>49.894859682420872</v>
      </c>
      <c r="E273" s="146">
        <v>24.823008982035926</v>
      </c>
      <c r="F273" s="146">
        <v>10.886395690761335</v>
      </c>
    </row>
    <row r="274" spans="1:6">
      <c r="A274" s="22" t="s">
        <v>10</v>
      </c>
      <c r="B274" s="151"/>
      <c r="C274" s="239"/>
      <c r="D274" s="239"/>
      <c r="E274" s="239"/>
      <c r="F274" s="239"/>
    </row>
    <row r="275" spans="1:6">
      <c r="A275" s="217" t="s">
        <v>77</v>
      </c>
    </row>
    <row r="276" spans="1:6">
      <c r="A276" s="217" t="s">
        <v>78</v>
      </c>
    </row>
    <row r="277" spans="1:6">
      <c r="A277" s="217" t="s">
        <v>288</v>
      </c>
    </row>
    <row r="278" spans="1:6">
      <c r="A278" s="217" t="s">
        <v>289</v>
      </c>
    </row>
    <row r="279" spans="1:6">
      <c r="A279" s="217" t="s">
        <v>290</v>
      </c>
    </row>
    <row r="280" spans="1:6">
      <c r="A280" s="217" t="s">
        <v>362</v>
      </c>
    </row>
    <row r="282" spans="1:6">
      <c r="A282" s="12" t="s">
        <v>59</v>
      </c>
      <c r="C282" s="29"/>
      <c r="D282" s="29"/>
      <c r="E282" s="29"/>
      <c r="F282" s="29"/>
    </row>
    <row r="283" spans="1:6">
      <c r="A283" s="12" t="s">
        <v>505</v>
      </c>
      <c r="C283" s="29"/>
      <c r="D283" s="29"/>
      <c r="E283" s="29"/>
      <c r="F283" s="29"/>
    </row>
    <row r="284" spans="1:6">
      <c r="A284" s="12"/>
      <c r="C284" s="29"/>
      <c r="D284" s="29"/>
      <c r="E284" s="29"/>
      <c r="F284" s="29"/>
    </row>
    <row r="285" spans="1:6" ht="30">
      <c r="A285" s="16" t="s">
        <v>0</v>
      </c>
      <c r="B285" s="152"/>
      <c r="C285" s="16" t="s">
        <v>28</v>
      </c>
      <c r="D285" s="16" t="s">
        <v>29</v>
      </c>
      <c r="E285" s="16" t="s">
        <v>30</v>
      </c>
      <c r="F285" s="16" t="s">
        <v>31</v>
      </c>
    </row>
    <row r="286" spans="1:6">
      <c r="A286" s="9" t="s">
        <v>4</v>
      </c>
      <c r="B286" s="153"/>
      <c r="C286" s="146">
        <v>1139.5808010187468</v>
      </c>
      <c r="D286" s="146">
        <v>695.44121810455749</v>
      </c>
      <c r="E286" s="146">
        <v>792.41833905147928</v>
      </c>
      <c r="F286" s="146">
        <v>599.72148609492297</v>
      </c>
    </row>
    <row r="287" spans="1:6">
      <c r="A287" s="9" t="s">
        <v>5</v>
      </c>
      <c r="B287" s="153"/>
      <c r="C287" s="146">
        <v>622.35418700668743</v>
      </c>
      <c r="D287" s="146">
        <v>525.8725151216546</v>
      </c>
      <c r="E287" s="146">
        <v>96.481671885032824</v>
      </c>
      <c r="F287" s="146">
        <v>274.49992739815804</v>
      </c>
    </row>
    <row r="288" spans="1:6">
      <c r="A288" s="9" t="s">
        <v>50</v>
      </c>
      <c r="B288" s="153"/>
      <c r="C288" s="146">
        <v>108.140891</v>
      </c>
      <c r="D288" s="146">
        <v>82.781191000000007</v>
      </c>
      <c r="E288" s="146">
        <f>+C288-D288</f>
        <v>25.359699999999989</v>
      </c>
      <c r="F288" s="146">
        <v>12.2772559999999</v>
      </c>
    </row>
    <row r="289" spans="1:7">
      <c r="A289" s="9" t="s">
        <v>6</v>
      </c>
      <c r="B289" s="153"/>
      <c r="C289" s="146"/>
      <c r="D289" s="146"/>
      <c r="E289" s="146"/>
      <c r="F289" s="146"/>
    </row>
    <row r="290" spans="1:7" ht="17.25">
      <c r="A290" s="9" t="s">
        <v>458</v>
      </c>
      <c r="B290" s="153"/>
      <c r="C290" s="146">
        <v>1735.98572987647</v>
      </c>
      <c r="D290" s="146">
        <v>870.23428465512143</v>
      </c>
      <c r="E290" s="146">
        <v>865.75144522134974</v>
      </c>
      <c r="F290" s="146">
        <v>563.95146815296414</v>
      </c>
    </row>
    <row r="291" spans="1:7">
      <c r="A291" s="9" t="s">
        <v>369</v>
      </c>
      <c r="B291" s="153"/>
      <c r="C291" s="146">
        <v>2.0299999999999998</v>
      </c>
      <c r="D291" s="146">
        <v>1.71</v>
      </c>
      <c r="E291" s="146">
        <v>0.45</v>
      </c>
      <c r="F291" s="146">
        <v>-0.53</v>
      </c>
    </row>
    <row r="292" spans="1:7">
      <c r="A292" s="9" t="s">
        <v>8</v>
      </c>
      <c r="B292" s="153"/>
      <c r="C292" s="146">
        <v>304.3083752725164</v>
      </c>
      <c r="D292" s="146">
        <v>155.6135847519289</v>
      </c>
      <c r="E292" s="146">
        <v>148.69479052058747</v>
      </c>
      <c r="F292" s="146">
        <v>129.98713074442563</v>
      </c>
      <c r="G292" s="451"/>
    </row>
    <row r="293" spans="1:7">
      <c r="A293" s="9" t="s">
        <v>82</v>
      </c>
      <c r="B293" s="153"/>
      <c r="C293" s="146">
        <v>170.92693120752742</v>
      </c>
      <c r="D293" s="146">
        <v>66.524809339606207</v>
      </c>
      <c r="E293" s="146">
        <v>111.84492409827496</v>
      </c>
      <c r="F293" s="146">
        <v>87.496176337340998</v>
      </c>
    </row>
    <row r="294" spans="1:7">
      <c r="A294" s="9" t="s">
        <v>9</v>
      </c>
      <c r="B294" s="153"/>
      <c r="C294" s="146">
        <v>76.304056814104868</v>
      </c>
      <c r="D294" s="146">
        <v>62.882938906258005</v>
      </c>
      <c r="E294" s="146">
        <v>38.217632925016659</v>
      </c>
      <c r="F294" s="146">
        <v>34.235501742606736</v>
      </c>
    </row>
    <row r="295" spans="1:7">
      <c r="A295" s="22" t="s">
        <v>10</v>
      </c>
      <c r="B295" s="151"/>
      <c r="C295" s="239"/>
      <c r="D295" s="239"/>
      <c r="E295" s="239"/>
      <c r="F295" s="239"/>
    </row>
    <row r="296" spans="1:7">
      <c r="A296" s="217" t="s">
        <v>77</v>
      </c>
    </row>
    <row r="297" spans="1:7">
      <c r="A297" s="217" t="s">
        <v>78</v>
      </c>
    </row>
    <row r="298" spans="1:7">
      <c r="A298" s="217" t="s">
        <v>288</v>
      </c>
    </row>
    <row r="299" spans="1:7">
      <c r="A299" s="217" t="s">
        <v>289</v>
      </c>
    </row>
    <row r="300" spans="1:7">
      <c r="A300" s="217" t="s">
        <v>290</v>
      </c>
    </row>
    <row r="301" spans="1:7">
      <c r="A301" s="217" t="s">
        <v>362</v>
      </c>
    </row>
    <row r="303" spans="1:7">
      <c r="A303" s="12" t="s">
        <v>59</v>
      </c>
      <c r="C303" s="29"/>
      <c r="D303" s="29"/>
      <c r="E303" s="29"/>
      <c r="F303" s="29"/>
    </row>
    <row r="304" spans="1:7">
      <c r="A304" s="12" t="s">
        <v>524</v>
      </c>
      <c r="C304" s="29"/>
      <c r="D304" s="29"/>
      <c r="E304" s="29"/>
      <c r="F304" s="29"/>
    </row>
    <row r="305" spans="1:7">
      <c r="A305" s="12"/>
      <c r="C305" s="29"/>
      <c r="D305" s="29"/>
      <c r="E305" s="29"/>
      <c r="F305" s="29"/>
    </row>
    <row r="306" spans="1:7" ht="30">
      <c r="A306" s="16" t="s">
        <v>0</v>
      </c>
      <c r="B306" s="152"/>
      <c r="C306" s="16" t="s">
        <v>28</v>
      </c>
      <c r="D306" s="16" t="s">
        <v>29</v>
      </c>
      <c r="E306" s="16" t="s">
        <v>30</v>
      </c>
      <c r="F306" s="16" t="s">
        <v>31</v>
      </c>
    </row>
    <row r="307" spans="1:7">
      <c r="A307" s="9" t="s">
        <v>4</v>
      </c>
      <c r="B307" s="153"/>
      <c r="C307" s="146">
        <v>1122.7427206386321</v>
      </c>
      <c r="D307" s="146">
        <v>651.5964207958715</v>
      </c>
      <c r="E307" s="146">
        <v>759.09053138733202</v>
      </c>
      <c r="F307" s="146">
        <v>571.37164859089626</v>
      </c>
    </row>
    <row r="308" spans="1:7">
      <c r="A308" s="9" t="s">
        <v>5</v>
      </c>
      <c r="B308" s="153"/>
      <c r="C308" s="146">
        <v>636.83000000000004</v>
      </c>
      <c r="D308" s="146">
        <v>471.04</v>
      </c>
      <c r="E308" s="146">
        <v>165.79000000000002</v>
      </c>
      <c r="F308" s="146">
        <v>291.22000000000003</v>
      </c>
    </row>
    <row r="309" spans="1:7">
      <c r="A309" s="9" t="s">
        <v>50</v>
      </c>
      <c r="B309" s="153"/>
      <c r="C309" s="146">
        <v>126.31106</v>
      </c>
      <c r="D309" s="146">
        <v>93.579819999999998</v>
      </c>
      <c r="E309" s="146">
        <f>+C309-D309</f>
        <v>32.73124</v>
      </c>
      <c r="F309" s="146">
        <v>19.702321000000001</v>
      </c>
    </row>
    <row r="310" spans="1:7">
      <c r="A310" s="9" t="s">
        <v>6</v>
      </c>
      <c r="B310" s="153"/>
      <c r="C310" s="146"/>
      <c r="D310" s="146"/>
      <c r="E310" s="146"/>
      <c r="F310" s="146"/>
    </row>
    <row r="311" spans="1:7" ht="17.25">
      <c r="A311" s="9" t="s">
        <v>458</v>
      </c>
      <c r="B311" s="153"/>
      <c r="C311" s="146">
        <v>1622.43168550673</v>
      </c>
      <c r="D311" s="146">
        <v>798.79411892794258</v>
      </c>
      <c r="E311" s="146">
        <v>823.6375665787873</v>
      </c>
      <c r="F311" s="146">
        <v>550.48300432690939</v>
      </c>
    </row>
    <row r="312" spans="1:7">
      <c r="A312" s="9" t="s">
        <v>369</v>
      </c>
      <c r="B312" s="153"/>
      <c r="C312" s="146">
        <v>2.4</v>
      </c>
      <c r="D312" s="146">
        <v>2</v>
      </c>
      <c r="E312" s="146">
        <v>0.73</v>
      </c>
      <c r="F312" s="146">
        <v>-0.86</v>
      </c>
    </row>
    <row r="313" spans="1:7">
      <c r="A313" s="9" t="s">
        <v>8</v>
      </c>
      <c r="B313" s="153"/>
      <c r="C313" s="146">
        <v>316.20839264683588</v>
      </c>
      <c r="D313" s="146">
        <v>166.88432498673532</v>
      </c>
      <c r="E313" s="146">
        <v>149.32406766010052</v>
      </c>
      <c r="F313" s="146">
        <v>130.96264842816083</v>
      </c>
      <c r="G313" s="451"/>
    </row>
    <row r="314" spans="1:7">
      <c r="A314" s="9" t="s">
        <v>82</v>
      </c>
      <c r="B314" s="153"/>
      <c r="C314" s="146">
        <v>175.99471524408213</v>
      </c>
      <c r="D314" s="146">
        <v>76.941816123094995</v>
      </c>
      <c r="E314" s="146">
        <v>122.60461526163945</v>
      </c>
      <c r="F314" s="146">
        <v>96.886203320246153</v>
      </c>
    </row>
    <row r="315" spans="1:7">
      <c r="A315" s="9" t="s">
        <v>9</v>
      </c>
      <c r="B315" s="153"/>
      <c r="C315" s="146">
        <v>71.810464053919119</v>
      </c>
      <c r="D315" s="146">
        <v>52.919296827486043</v>
      </c>
      <c r="E315" s="146">
        <v>30.591955022012435</v>
      </c>
      <c r="F315" s="146">
        <v>27.264193822902008</v>
      </c>
    </row>
    <row r="316" spans="1:7">
      <c r="A316" s="22" t="s">
        <v>10</v>
      </c>
      <c r="B316" s="151"/>
      <c r="C316" s="239"/>
      <c r="D316" s="239"/>
      <c r="E316" s="239"/>
      <c r="F316" s="239"/>
    </row>
    <row r="317" spans="1:7">
      <c r="A317" s="217" t="s">
        <v>77</v>
      </c>
    </row>
    <row r="318" spans="1:7">
      <c r="A318" s="217" t="s">
        <v>78</v>
      </c>
    </row>
    <row r="319" spans="1:7">
      <c r="A319" s="217" t="s">
        <v>288</v>
      </c>
    </row>
    <row r="320" spans="1:7">
      <c r="A320" s="217" t="s">
        <v>289</v>
      </c>
    </row>
    <row r="321" spans="1:7">
      <c r="A321" s="217" t="s">
        <v>290</v>
      </c>
    </row>
    <row r="322" spans="1:7">
      <c r="A322" s="217" t="s">
        <v>362</v>
      </c>
    </row>
    <row r="324" spans="1:7">
      <c r="A324" s="12" t="s">
        <v>59</v>
      </c>
      <c r="C324" s="29"/>
      <c r="D324" s="29"/>
      <c r="E324" s="29"/>
      <c r="F324" s="29"/>
    </row>
    <row r="325" spans="1:7">
      <c r="A325" s="12" t="s">
        <v>536</v>
      </c>
      <c r="C325" s="29"/>
      <c r="D325" s="29"/>
      <c r="E325" s="29"/>
      <c r="F325" s="29"/>
    </row>
    <row r="326" spans="1:7">
      <c r="A326" s="12"/>
      <c r="C326" s="29"/>
      <c r="D326" s="29"/>
      <c r="E326" s="29"/>
      <c r="F326" s="29"/>
    </row>
    <row r="327" spans="1:7" ht="30">
      <c r="A327" s="16" t="s">
        <v>0</v>
      </c>
      <c r="B327" s="152"/>
      <c r="C327" s="16" t="s">
        <v>28</v>
      </c>
      <c r="D327" s="16" t="s">
        <v>29</v>
      </c>
      <c r="E327" s="16" t="s">
        <v>30</v>
      </c>
      <c r="F327" s="16" t="s">
        <v>31</v>
      </c>
    </row>
    <row r="328" spans="1:7">
      <c r="A328" s="9" t="s">
        <v>4</v>
      </c>
      <c r="B328" s="153"/>
      <c r="C328" s="146">
        <v>1305.4010283368821</v>
      </c>
      <c r="D328" s="146">
        <v>640.34453565705996</v>
      </c>
      <c r="E328" s="146">
        <v>1019.2456715467854</v>
      </c>
      <c r="F328" s="146">
        <v>758.90449526986993</v>
      </c>
    </row>
    <row r="329" spans="1:7">
      <c r="A329" s="9" t="s">
        <v>5</v>
      </c>
      <c r="B329" s="153"/>
      <c r="C329" s="146">
        <v>823.98529135434967</v>
      </c>
      <c r="D329" s="146">
        <v>593.56242849989621</v>
      </c>
      <c r="E329" s="146">
        <v>230.42286285445346</v>
      </c>
      <c r="F329" s="146">
        <v>354.47229219818581</v>
      </c>
    </row>
    <row r="330" spans="1:7">
      <c r="A330" s="9" t="s">
        <v>50</v>
      </c>
      <c r="B330" s="153"/>
      <c r="C330" s="146">
        <v>146.16945000000004</v>
      </c>
      <c r="D330" s="146">
        <v>101.79063599999998</v>
      </c>
      <c r="E330" s="146">
        <v>44.37881400000002</v>
      </c>
      <c r="F330" s="146">
        <v>24.556009000000017</v>
      </c>
    </row>
    <row r="331" spans="1:7">
      <c r="A331" s="9" t="s">
        <v>6</v>
      </c>
      <c r="B331" s="153"/>
      <c r="C331" s="146"/>
      <c r="D331" s="146"/>
      <c r="E331" s="146"/>
      <c r="F331" s="146"/>
    </row>
    <row r="332" spans="1:7" ht="17.25">
      <c r="A332" s="9" t="s">
        <v>458</v>
      </c>
      <c r="B332" s="153"/>
      <c r="C332" s="146">
        <v>2151.4623374563917</v>
      </c>
      <c r="D332" s="146">
        <v>1044.13703079628</v>
      </c>
      <c r="E332" s="146">
        <v>1107.3253066601114</v>
      </c>
      <c r="F332" s="146">
        <v>797.0549022292962</v>
      </c>
    </row>
    <row r="333" spans="1:7">
      <c r="A333" s="9" t="s">
        <v>369</v>
      </c>
      <c r="B333" s="153"/>
      <c r="C333" s="146">
        <v>2.71</v>
      </c>
      <c r="D333" s="146">
        <v>1.6</v>
      </c>
      <c r="E333" s="146">
        <v>1.08</v>
      </c>
      <c r="F333" s="146">
        <v>3.08</v>
      </c>
    </row>
    <row r="334" spans="1:7">
      <c r="A334" s="9" t="s">
        <v>8</v>
      </c>
      <c r="B334" s="153"/>
      <c r="C334" s="146">
        <v>348.15326330700839</v>
      </c>
      <c r="D334" s="146">
        <v>182.4101191515131</v>
      </c>
      <c r="E334" s="146">
        <v>165.74314415549523</v>
      </c>
      <c r="F334" s="146">
        <v>122.83141840817234</v>
      </c>
      <c r="G334" s="451"/>
    </row>
    <row r="335" spans="1:7">
      <c r="A335" s="9" t="s">
        <v>82</v>
      </c>
      <c r="B335" s="153"/>
      <c r="C335" s="146">
        <v>218.71934906000001</v>
      </c>
      <c r="D335" s="146">
        <v>99.437169220000001</v>
      </c>
      <c r="E335" s="146">
        <v>119.114907009674</v>
      </c>
      <c r="F335" s="146">
        <v>94.036774549865967</v>
      </c>
    </row>
    <row r="336" spans="1:7">
      <c r="A336" s="9" t="s">
        <v>9</v>
      </c>
      <c r="B336" s="153"/>
      <c r="C336" s="146">
        <v>81.749994928408611</v>
      </c>
      <c r="D336" s="146">
        <v>60.106575625624352</v>
      </c>
      <c r="E336" s="146">
        <v>32.085808124791882</v>
      </c>
      <c r="F336" s="146">
        <v>28.399538792551422</v>
      </c>
    </row>
    <row r="337" spans="1:6">
      <c r="A337" s="22" t="s">
        <v>10</v>
      </c>
      <c r="B337" s="151"/>
      <c r="C337" s="239"/>
      <c r="D337" s="239"/>
      <c r="E337" s="239"/>
      <c r="F337" s="239"/>
    </row>
    <row r="338" spans="1:6">
      <c r="A338" s="217" t="s">
        <v>77</v>
      </c>
    </row>
    <row r="339" spans="1:6">
      <c r="A339" s="217" t="s">
        <v>78</v>
      </c>
    </row>
    <row r="340" spans="1:6">
      <c r="A340" s="217" t="s">
        <v>288</v>
      </c>
    </row>
    <row r="341" spans="1:6">
      <c r="A341" s="217" t="s">
        <v>289</v>
      </c>
    </row>
    <row r="342" spans="1:6">
      <c r="A342" s="217" t="s">
        <v>290</v>
      </c>
    </row>
    <row r="343" spans="1:6">
      <c r="A343" s="217" t="s">
        <v>362</v>
      </c>
    </row>
  </sheetData>
  <phoneticPr fontId="9" type="noConversion"/>
  <pageMargins left="0.74803149606299213" right="0.74803149606299213" top="0.98425196850393704" bottom="0.98425196850393704" header="0.51181102362204722" footer="0.51181102362204722"/>
  <pageSetup scale="88" fitToHeight="0" orientation="portrait" r:id="rId1"/>
  <headerFooter alignWithMargins="0">
    <oddHeader>&amp;A</oddHeader>
    <oddFooter>&amp;L&amp;F&amp;R&amp;D</oddFooter>
  </headerFooter>
  <rowBreaks count="2" manualBreakCount="2">
    <brk id="42" max="16383" man="1"/>
    <brk id="85"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H384"/>
  <sheetViews>
    <sheetView showGridLines="0" showZeros="0" zoomScale="90" zoomScaleNormal="90" workbookViewId="0"/>
  </sheetViews>
  <sheetFormatPr baseColWidth="10" defaultRowHeight="15"/>
  <cols>
    <col min="1" max="1" width="12.625" style="13" customWidth="1"/>
    <col min="2" max="2" width="12.875" style="13" customWidth="1"/>
    <col min="3" max="3" width="8.875" style="13" customWidth="1"/>
    <col min="4" max="4" width="9.375" style="13" customWidth="1"/>
    <col min="5" max="6" width="7.625" style="13" customWidth="1"/>
    <col min="7" max="7" width="11" style="13" bestFit="1" customWidth="1"/>
    <col min="8" max="8" width="1.5" style="13" customWidth="1"/>
    <col min="9" max="16384" width="11" style="13"/>
  </cols>
  <sheetData>
    <row r="1" spans="1:7" ht="15.75" customHeight="1">
      <c r="A1" s="10" t="s">
        <v>321</v>
      </c>
      <c r="B1" s="75"/>
      <c r="C1" s="75"/>
      <c r="D1" s="75"/>
      <c r="E1" s="75"/>
      <c r="F1" s="75"/>
      <c r="G1" s="75"/>
    </row>
    <row r="2" spans="1:7">
      <c r="A2" s="12" t="s">
        <v>51</v>
      </c>
      <c r="B2" s="99"/>
      <c r="C2" s="99"/>
      <c r="D2" s="99"/>
      <c r="E2" s="99"/>
      <c r="F2" s="99"/>
      <c r="G2" s="99"/>
    </row>
    <row r="3" spans="1:7">
      <c r="A3" s="12" t="s">
        <v>410</v>
      </c>
      <c r="B3" s="99"/>
      <c r="C3" s="99"/>
      <c r="G3" s="186"/>
    </row>
    <row r="4" spans="1:7" s="187" customFormat="1" ht="8.1" customHeight="1">
      <c r="A4" s="12"/>
      <c r="B4" s="188"/>
      <c r="C4" s="188"/>
      <c r="D4" s="188"/>
      <c r="E4" s="188"/>
      <c r="F4" s="188"/>
      <c r="G4" s="188"/>
    </row>
    <row r="5" spans="1:7" s="187" customFormat="1" ht="14.25" customHeight="1">
      <c r="A5" s="691" t="s">
        <v>0</v>
      </c>
      <c r="B5" s="691" t="s">
        <v>233</v>
      </c>
      <c r="C5" s="691" t="s">
        <v>43</v>
      </c>
      <c r="D5" s="708"/>
      <c r="E5" s="708"/>
      <c r="F5" s="691" t="s">
        <v>21</v>
      </c>
      <c r="G5" s="691" t="s">
        <v>44</v>
      </c>
    </row>
    <row r="6" spans="1:7" s="76" customFormat="1" ht="17.100000000000001" customHeight="1">
      <c r="A6" s="707" t="s">
        <v>0</v>
      </c>
      <c r="B6" s="691"/>
      <c r="C6" s="27" t="s">
        <v>47</v>
      </c>
      <c r="D6" s="27" t="s">
        <v>48</v>
      </c>
      <c r="E6" s="27" t="s">
        <v>10</v>
      </c>
      <c r="F6" s="708"/>
      <c r="G6" s="708"/>
    </row>
    <row r="7" spans="1:7" s="76" customFormat="1" ht="8.1" customHeight="1">
      <c r="A7" s="18"/>
      <c r="B7" s="18"/>
      <c r="C7" s="18"/>
      <c r="D7" s="18"/>
      <c r="E7" s="18"/>
      <c r="F7" s="18"/>
      <c r="G7" s="18"/>
    </row>
    <row r="8" spans="1:7" ht="15.75" customHeight="1">
      <c r="A8" s="9" t="s">
        <v>3</v>
      </c>
      <c r="B8" s="189">
        <v>15118551</v>
      </c>
      <c r="C8" s="208">
        <v>0</v>
      </c>
      <c r="D8" s="208">
        <v>317223</v>
      </c>
      <c r="E8" s="191">
        <v>317223</v>
      </c>
      <c r="F8" s="208">
        <v>1833141</v>
      </c>
      <c r="G8" s="191">
        <v>17268915</v>
      </c>
    </row>
    <row r="9" spans="1:7" ht="15.75" customHeight="1">
      <c r="A9" s="9" t="s">
        <v>4</v>
      </c>
      <c r="B9" s="193"/>
      <c r="C9" s="218"/>
      <c r="D9" s="218"/>
      <c r="E9" s="195"/>
      <c r="F9" s="218"/>
      <c r="G9" s="195"/>
    </row>
    <row r="10" spans="1:7" ht="15.75" customHeight="1">
      <c r="A10" s="9" t="s">
        <v>5</v>
      </c>
      <c r="B10" s="197">
        <v>377</v>
      </c>
      <c r="C10" s="679">
        <v>88</v>
      </c>
      <c r="D10" s="679">
        <v>19</v>
      </c>
      <c r="E10" s="198">
        <v>107</v>
      </c>
      <c r="F10" s="679">
        <v>27</v>
      </c>
      <c r="G10" s="198">
        <f>+F10+E10+B10</f>
        <v>511</v>
      </c>
    </row>
    <row r="11" spans="1:7" ht="15.75" customHeight="1">
      <c r="A11" s="9" t="s">
        <v>194</v>
      </c>
      <c r="B11" s="193">
        <v>40814202</v>
      </c>
      <c r="C11" s="218">
        <v>0</v>
      </c>
      <c r="D11" s="218">
        <v>0</v>
      </c>
      <c r="E11" s="195">
        <v>0</v>
      </c>
      <c r="F11" s="218">
        <v>0</v>
      </c>
      <c r="G11" s="195">
        <v>29795429.17922299</v>
      </c>
    </row>
    <row r="12" spans="1:7" ht="15.75" customHeight="1">
      <c r="A12" s="9" t="s">
        <v>6</v>
      </c>
      <c r="B12" s="189">
        <v>30741023</v>
      </c>
      <c r="C12" s="208">
        <v>3571649</v>
      </c>
      <c r="D12" s="208">
        <v>0</v>
      </c>
      <c r="E12" s="191">
        <v>3571649</v>
      </c>
      <c r="F12" s="208">
        <v>0</v>
      </c>
      <c r="G12" s="191">
        <v>34312672</v>
      </c>
    </row>
    <row r="13" spans="1:7" ht="15.75" customHeight="1">
      <c r="A13" s="9" t="s">
        <v>7</v>
      </c>
      <c r="B13" s="189">
        <v>562129428.61069405</v>
      </c>
      <c r="C13" s="709">
        <v>94000000</v>
      </c>
      <c r="D13" s="709">
        <v>155661160.372078</v>
      </c>
      <c r="E13" s="191">
        <v>250136131.24587899</v>
      </c>
      <c r="F13" s="208">
        <v>48711513.493904002</v>
      </c>
      <c r="G13" s="191">
        <v>860977073.3504771</v>
      </c>
    </row>
    <row r="14" spans="1:7" ht="15.75" customHeight="1">
      <c r="A14" s="9" t="s">
        <v>369</v>
      </c>
      <c r="B14" s="189">
        <v>0</v>
      </c>
      <c r="C14" s="208">
        <v>0</v>
      </c>
      <c r="D14" s="208">
        <v>0</v>
      </c>
      <c r="E14" s="191">
        <v>0</v>
      </c>
      <c r="F14" s="208">
        <v>0</v>
      </c>
      <c r="G14" s="191"/>
    </row>
    <row r="15" spans="1:7" ht="15.75" customHeight="1">
      <c r="A15" s="9" t="s">
        <v>8</v>
      </c>
      <c r="B15" s="191">
        <v>103178321.33909999</v>
      </c>
      <c r="C15" s="709">
        <v>0</v>
      </c>
      <c r="D15" s="709">
        <v>0</v>
      </c>
      <c r="E15" s="191">
        <v>64526975.982698955</v>
      </c>
      <c r="F15" s="208">
        <v>0</v>
      </c>
      <c r="G15" s="191">
        <v>167705297.32179895</v>
      </c>
    </row>
    <row r="16" spans="1:7" ht="15.75" customHeight="1">
      <c r="A16" s="9" t="s">
        <v>82</v>
      </c>
      <c r="B16" s="189">
        <v>7712185</v>
      </c>
      <c r="C16" s="208">
        <v>0</v>
      </c>
      <c r="D16" s="208">
        <v>0</v>
      </c>
      <c r="E16" s="191">
        <v>4949097</v>
      </c>
      <c r="F16" s="208">
        <v>4846875</v>
      </c>
      <c r="G16" s="191">
        <v>17508157</v>
      </c>
    </row>
    <row r="17" spans="1:7" ht="15.75" customHeight="1">
      <c r="A17" s="9" t="s">
        <v>9</v>
      </c>
      <c r="B17" s="189">
        <v>10892119.858996199</v>
      </c>
      <c r="C17" s="208">
        <v>4835899.4713161197</v>
      </c>
      <c r="D17" s="208">
        <v>3467294.6977928798</v>
      </c>
      <c r="E17" s="191">
        <v>8303194.1691089999</v>
      </c>
      <c r="F17" s="208">
        <v>22666234.891583402</v>
      </c>
      <c r="G17" s="191">
        <v>41861548.919688597</v>
      </c>
    </row>
    <row r="18" spans="1:7" ht="8.1" customHeight="1">
      <c r="A18" s="29"/>
      <c r="B18" s="199"/>
      <c r="C18" s="680"/>
      <c r="D18" s="680"/>
      <c r="E18" s="680"/>
      <c r="F18" s="680"/>
      <c r="G18" s="680"/>
    </row>
    <row r="19" spans="1:7">
      <c r="A19" s="85" t="s">
        <v>10</v>
      </c>
      <c r="B19" s="201">
        <v>1386194887.1331115</v>
      </c>
      <c r="C19" s="681">
        <v>269790568.82951009</v>
      </c>
      <c r="D19" s="681">
        <v>188376363.45580781</v>
      </c>
      <c r="E19" s="681">
        <v>525622754.20152962</v>
      </c>
      <c r="F19" s="681">
        <v>117885876.85907699</v>
      </c>
      <c r="G19" s="681">
        <v>2018684745.3729413</v>
      </c>
    </row>
    <row r="20" spans="1:7" ht="15.75" customHeight="1">
      <c r="A20" s="29" t="s">
        <v>60</v>
      </c>
      <c r="B20" s="29"/>
      <c r="C20" s="29"/>
      <c r="D20" s="29"/>
      <c r="E20" s="29"/>
      <c r="F20" s="29"/>
      <c r="G20" s="203"/>
    </row>
    <row r="21" spans="1:7" ht="15.75" customHeight="1">
      <c r="A21" s="132"/>
      <c r="B21" s="29"/>
      <c r="C21" s="29"/>
      <c r="D21" s="29"/>
      <c r="E21" s="29"/>
      <c r="F21" s="29"/>
      <c r="G21" s="203"/>
    </row>
    <row r="22" spans="1:7" ht="15.75" customHeight="1">
      <c r="A22" s="12" t="s">
        <v>51</v>
      </c>
      <c r="B22" s="29"/>
      <c r="C22" s="29"/>
      <c r="D22" s="29"/>
      <c r="E22" s="29"/>
      <c r="F22" s="29"/>
      <c r="G22" s="203"/>
    </row>
    <row r="23" spans="1:7">
      <c r="A23" s="12" t="s">
        <v>411</v>
      </c>
      <c r="B23" s="204"/>
      <c r="E23" s="204"/>
      <c r="G23" s="204"/>
    </row>
    <row r="24" spans="1:7" ht="8.1" customHeight="1">
      <c r="A24" s="12"/>
      <c r="B24" s="204"/>
      <c r="E24" s="204"/>
      <c r="G24" s="204"/>
    </row>
    <row r="25" spans="1:7">
      <c r="A25" s="691" t="s">
        <v>0</v>
      </c>
      <c r="B25" s="691" t="s">
        <v>233</v>
      </c>
      <c r="C25" s="691" t="s">
        <v>43</v>
      </c>
      <c r="D25" s="708"/>
      <c r="E25" s="708"/>
      <c r="F25" s="691" t="s">
        <v>21</v>
      </c>
      <c r="G25" s="691" t="s">
        <v>44</v>
      </c>
    </row>
    <row r="26" spans="1:7" ht="30">
      <c r="A26" s="707" t="s">
        <v>0</v>
      </c>
      <c r="B26" s="691"/>
      <c r="C26" s="27" t="s">
        <v>47</v>
      </c>
      <c r="D26" s="27" t="s">
        <v>48</v>
      </c>
      <c r="E26" s="27" t="s">
        <v>10</v>
      </c>
      <c r="F26" s="708"/>
      <c r="G26" s="708"/>
    </row>
    <row r="27" spans="1:7" ht="8.1" customHeight="1">
      <c r="A27" s="18"/>
      <c r="B27" s="18"/>
      <c r="C27" s="18"/>
      <c r="D27" s="18"/>
      <c r="E27" s="18"/>
      <c r="F27" s="18"/>
      <c r="G27" s="18"/>
    </row>
    <row r="28" spans="1:7" hidden="1">
      <c r="A28" s="9" t="s">
        <v>3</v>
      </c>
      <c r="B28" s="192"/>
      <c r="C28" s="190"/>
      <c r="D28" s="190"/>
      <c r="E28" s="192"/>
      <c r="F28" s="190"/>
      <c r="G28" s="192"/>
    </row>
    <row r="29" spans="1:7">
      <c r="A29" s="9" t="s">
        <v>4</v>
      </c>
      <c r="B29" s="205"/>
      <c r="C29" s="194"/>
      <c r="D29" s="194"/>
      <c r="E29" s="196"/>
      <c r="F29" s="194"/>
      <c r="G29" s="196"/>
    </row>
    <row r="30" spans="1:7">
      <c r="A30" s="9" t="s">
        <v>5</v>
      </c>
      <c r="B30" s="206">
        <v>377</v>
      </c>
      <c r="C30" s="207">
        <v>88</v>
      </c>
      <c r="D30" s="207">
        <v>19</v>
      </c>
      <c r="E30" s="206">
        <v>107</v>
      </c>
      <c r="F30" s="207">
        <v>27</v>
      </c>
      <c r="G30" s="206">
        <v>523</v>
      </c>
    </row>
    <row r="31" spans="1:7">
      <c r="A31" s="9" t="s">
        <v>50</v>
      </c>
      <c r="B31" s="196"/>
      <c r="C31" s="194"/>
      <c r="D31" s="194"/>
      <c r="E31" s="196"/>
      <c r="F31" s="194"/>
      <c r="G31" s="196"/>
    </row>
    <row r="32" spans="1:7">
      <c r="A32" s="9" t="s">
        <v>6</v>
      </c>
      <c r="B32" s="191">
        <v>23374944</v>
      </c>
      <c r="C32" s="208">
        <v>3553175</v>
      </c>
      <c r="D32" s="208">
        <v>0</v>
      </c>
      <c r="E32" s="191">
        <v>3553175</v>
      </c>
      <c r="F32" s="208">
        <v>0</v>
      </c>
      <c r="G32" s="191">
        <v>26928119</v>
      </c>
    </row>
    <row r="33" spans="1:7">
      <c r="A33" s="9" t="s">
        <v>7</v>
      </c>
      <c r="B33" s="192"/>
      <c r="C33" s="709"/>
      <c r="D33" s="709"/>
      <c r="E33" s="192"/>
      <c r="F33" s="190"/>
      <c r="G33" s="192"/>
    </row>
    <row r="34" spans="1:7">
      <c r="A34" s="9" t="s">
        <v>369</v>
      </c>
      <c r="B34" s="192"/>
      <c r="C34" s="190"/>
      <c r="D34" s="190"/>
      <c r="E34" s="192"/>
      <c r="F34" s="190"/>
      <c r="G34" s="192"/>
    </row>
    <row r="35" spans="1:7">
      <c r="A35" s="9" t="s">
        <v>8</v>
      </c>
      <c r="B35" s="191">
        <v>118367823.93022428</v>
      </c>
      <c r="C35" s="709"/>
      <c r="D35" s="709"/>
      <c r="E35" s="191">
        <v>59340456.785332859</v>
      </c>
      <c r="F35" s="208"/>
      <c r="G35" s="191">
        <v>177708280.71555716</v>
      </c>
    </row>
    <row r="36" spans="1:7">
      <c r="A36" s="9" t="s">
        <v>82</v>
      </c>
      <c r="B36" s="192"/>
      <c r="C36" s="190"/>
      <c r="D36" s="190"/>
      <c r="E36" s="192"/>
      <c r="F36" s="190"/>
      <c r="G36" s="192"/>
    </row>
    <row r="37" spans="1:7">
      <c r="A37" s="9" t="s">
        <v>9</v>
      </c>
      <c r="B37" s="196"/>
      <c r="C37" s="190"/>
      <c r="D37" s="190"/>
      <c r="E37" s="192"/>
      <c r="F37" s="190"/>
      <c r="G37" s="192"/>
    </row>
    <row r="38" spans="1:7" ht="8.1" customHeight="1">
      <c r="A38" s="29"/>
      <c r="B38" s="200"/>
      <c r="C38" s="200"/>
      <c r="D38" s="200"/>
      <c r="E38" s="200"/>
      <c r="F38" s="200"/>
      <c r="G38" s="200"/>
    </row>
    <row r="39" spans="1:7">
      <c r="A39" s="85" t="s">
        <v>10</v>
      </c>
      <c r="B39" s="202"/>
      <c r="C39" s="202"/>
      <c r="D39" s="202"/>
      <c r="E39" s="202"/>
      <c r="F39" s="202"/>
      <c r="G39" s="202"/>
    </row>
    <row r="42" spans="1:7">
      <c r="A42" s="12" t="s">
        <v>51</v>
      </c>
      <c r="B42" s="29"/>
      <c r="C42" s="29"/>
      <c r="D42" s="29"/>
      <c r="E42" s="29"/>
      <c r="F42" s="29"/>
      <c r="G42" s="203"/>
    </row>
    <row r="43" spans="1:7">
      <c r="A43" s="12" t="s">
        <v>412</v>
      </c>
      <c r="B43" s="204"/>
      <c r="E43" s="204"/>
      <c r="G43" s="204"/>
    </row>
    <row r="44" spans="1:7">
      <c r="A44" s="12"/>
      <c r="B44" s="204"/>
      <c r="E44" s="204"/>
      <c r="G44" s="204"/>
    </row>
    <row r="45" spans="1:7">
      <c r="A45" s="691" t="s">
        <v>0</v>
      </c>
      <c r="B45" s="691" t="s">
        <v>233</v>
      </c>
      <c r="C45" s="691" t="s">
        <v>43</v>
      </c>
      <c r="D45" s="708"/>
      <c r="E45" s="708"/>
      <c r="F45" s="691" t="s">
        <v>21</v>
      </c>
      <c r="G45" s="691" t="s">
        <v>44</v>
      </c>
    </row>
    <row r="46" spans="1:7" ht="30">
      <c r="A46" s="707" t="s">
        <v>0</v>
      </c>
      <c r="B46" s="691"/>
      <c r="C46" s="27" t="s">
        <v>47</v>
      </c>
      <c r="D46" s="27" t="s">
        <v>48</v>
      </c>
      <c r="E46" s="27" t="s">
        <v>10</v>
      </c>
      <c r="F46" s="708"/>
      <c r="G46" s="708"/>
    </row>
    <row r="47" spans="1:7" ht="8.1" customHeight="1">
      <c r="A47" s="18"/>
      <c r="B47" s="18"/>
      <c r="C47" s="18"/>
      <c r="D47" s="18"/>
      <c r="E47" s="18"/>
      <c r="F47" s="18"/>
      <c r="G47" s="18"/>
    </row>
    <row r="48" spans="1:7" hidden="1">
      <c r="A48" s="9" t="s">
        <v>3</v>
      </c>
      <c r="B48" s="192"/>
      <c r="C48" s="190"/>
      <c r="D48" s="190"/>
      <c r="E48" s="192"/>
      <c r="F48" s="190"/>
      <c r="G48" s="192"/>
    </row>
    <row r="49" spans="1:7">
      <c r="A49" s="9" t="s">
        <v>4</v>
      </c>
      <c r="B49" s="209">
        <v>446</v>
      </c>
      <c r="C49" s="210">
        <v>125.72</v>
      </c>
      <c r="D49" s="210">
        <v>14.37</v>
      </c>
      <c r="E49" s="211">
        <f>+C49+D49</f>
        <v>140.09</v>
      </c>
      <c r="F49" s="212">
        <v>28.323</v>
      </c>
      <c r="G49" s="211">
        <f>+E49+B49</f>
        <v>586.09</v>
      </c>
    </row>
    <row r="50" spans="1:7">
      <c r="A50" s="9" t="s">
        <v>5</v>
      </c>
      <c r="B50" s="209">
        <v>348</v>
      </c>
      <c r="C50" s="210">
        <v>66</v>
      </c>
      <c r="D50" s="210">
        <v>19</v>
      </c>
      <c r="E50" s="209">
        <v>85</v>
      </c>
      <c r="F50" s="210">
        <v>80</v>
      </c>
      <c r="G50" s="209">
        <v>348</v>
      </c>
    </row>
    <row r="51" spans="1:7">
      <c r="A51" s="9" t="s">
        <v>50</v>
      </c>
      <c r="B51" s="196"/>
      <c r="C51" s="194"/>
      <c r="D51" s="194"/>
      <c r="E51" s="196"/>
      <c r="F51" s="194"/>
      <c r="G51" s="196"/>
    </row>
    <row r="52" spans="1:7">
      <c r="A52" s="9" t="s">
        <v>6</v>
      </c>
      <c r="B52" s="191">
        <v>25719313</v>
      </c>
      <c r="C52" s="208">
        <v>4453112</v>
      </c>
      <c r="D52" s="208"/>
      <c r="E52" s="191">
        <v>4453112</v>
      </c>
      <c r="F52" s="208"/>
      <c r="G52" s="191">
        <v>30172425</v>
      </c>
    </row>
    <row r="53" spans="1:7">
      <c r="A53" s="9" t="s">
        <v>7</v>
      </c>
      <c r="B53" s="213">
        <v>503571573.51210856</v>
      </c>
      <c r="C53" s="214">
        <v>96113069.705182254</v>
      </c>
      <c r="D53" s="214">
        <v>129703012.33205098</v>
      </c>
      <c r="E53" s="213">
        <v>225816082.03723326</v>
      </c>
      <c r="F53" s="214">
        <v>43400383.785023957</v>
      </c>
      <c r="G53" s="213">
        <v>772788039.33436584</v>
      </c>
    </row>
    <row r="54" spans="1:7">
      <c r="A54" s="9" t="s">
        <v>369</v>
      </c>
      <c r="B54" s="192"/>
      <c r="C54" s="190"/>
      <c r="D54" s="190"/>
      <c r="E54" s="192"/>
      <c r="F54" s="190"/>
      <c r="G54" s="192"/>
    </row>
    <row r="55" spans="1:7">
      <c r="A55" s="9" t="s">
        <v>8</v>
      </c>
      <c r="B55" s="191">
        <v>133290242.88575667</v>
      </c>
      <c r="C55" s="709"/>
      <c r="D55" s="709"/>
      <c r="E55" s="191">
        <v>71529588.427299708</v>
      </c>
      <c r="F55" s="208"/>
      <c r="G55" s="191">
        <v>204819831.31305638</v>
      </c>
    </row>
    <row r="56" spans="1:7">
      <c r="A56" s="9" t="s">
        <v>82</v>
      </c>
      <c r="B56" s="213">
        <v>10526002.277331525</v>
      </c>
      <c r="C56" s="214">
        <v>0</v>
      </c>
      <c r="D56" s="214">
        <v>0</v>
      </c>
      <c r="E56" s="214">
        <v>6782205.8650958333</v>
      </c>
      <c r="F56" s="214">
        <v>6681382.4408196853</v>
      </c>
      <c r="G56" s="213">
        <v>23989590.583247043</v>
      </c>
    </row>
    <row r="57" spans="1:7">
      <c r="A57" s="9" t="s">
        <v>9</v>
      </c>
      <c r="B57" s="196"/>
      <c r="C57" s="190"/>
      <c r="D57" s="190"/>
      <c r="E57" s="192"/>
      <c r="F57" s="190"/>
      <c r="G57" s="192"/>
    </row>
    <row r="58" spans="1:7">
      <c r="A58" s="29"/>
      <c r="B58" s="200"/>
      <c r="C58" s="200"/>
      <c r="D58" s="200"/>
      <c r="E58" s="200"/>
      <c r="F58" s="200"/>
      <c r="G58" s="200"/>
    </row>
    <row r="59" spans="1:7">
      <c r="A59" s="85" t="s">
        <v>10</v>
      </c>
      <c r="B59" s="202"/>
      <c r="C59" s="202"/>
      <c r="D59" s="202"/>
      <c r="E59" s="202"/>
      <c r="F59" s="202"/>
      <c r="G59" s="202"/>
    </row>
    <row r="60" spans="1:7">
      <c r="A60" s="12"/>
      <c r="B60" s="196"/>
      <c r="C60" s="196"/>
      <c r="D60" s="196"/>
      <c r="E60" s="196"/>
      <c r="F60" s="196"/>
      <c r="G60" s="196"/>
    </row>
    <row r="61" spans="1:7">
      <c r="A61" s="12" t="s">
        <v>51</v>
      </c>
      <c r="B61" s="29"/>
      <c r="C61" s="29"/>
      <c r="D61" s="29"/>
      <c r="E61" s="29"/>
      <c r="F61" s="29"/>
      <c r="G61" s="203"/>
    </row>
    <row r="62" spans="1:7">
      <c r="A62" s="12" t="s">
        <v>413</v>
      </c>
      <c r="B62" s="204"/>
      <c r="E62" s="204"/>
      <c r="G62" s="204"/>
    </row>
    <row r="63" spans="1:7" ht="8.1" customHeight="1">
      <c r="A63" s="12"/>
      <c r="B63" s="204"/>
      <c r="E63" s="204"/>
      <c r="G63" s="204"/>
    </row>
    <row r="64" spans="1:7">
      <c r="A64" s="691" t="s">
        <v>0</v>
      </c>
      <c r="B64" s="691" t="s">
        <v>233</v>
      </c>
      <c r="C64" s="691" t="s">
        <v>43</v>
      </c>
      <c r="D64" s="708"/>
      <c r="E64" s="708"/>
      <c r="F64" s="691" t="s">
        <v>21</v>
      </c>
      <c r="G64" s="691" t="s">
        <v>44</v>
      </c>
    </row>
    <row r="65" spans="1:7" ht="30">
      <c r="A65" s="707" t="s">
        <v>0</v>
      </c>
      <c r="B65" s="691"/>
      <c r="C65" s="27" t="s">
        <v>47</v>
      </c>
      <c r="D65" s="27" t="s">
        <v>48</v>
      </c>
      <c r="E65" s="27" t="s">
        <v>10</v>
      </c>
      <c r="F65" s="708"/>
      <c r="G65" s="708"/>
    </row>
    <row r="66" spans="1:7" ht="8.1" customHeight="1">
      <c r="A66" s="18"/>
      <c r="B66" s="18"/>
      <c r="C66" s="18"/>
      <c r="D66" s="18"/>
      <c r="E66" s="18"/>
      <c r="F66" s="18"/>
      <c r="G66" s="18"/>
    </row>
    <row r="67" spans="1:7" hidden="1">
      <c r="A67" s="9" t="s">
        <v>3</v>
      </c>
      <c r="B67" s="192"/>
      <c r="C67" s="190"/>
      <c r="D67" s="190"/>
      <c r="E67" s="192"/>
      <c r="F67" s="190"/>
      <c r="G67" s="192"/>
    </row>
    <row r="68" spans="1:7">
      <c r="A68" s="9" t="s">
        <v>4</v>
      </c>
      <c r="B68" s="215">
        <v>463000000</v>
      </c>
      <c r="C68" s="190">
        <v>94300000</v>
      </c>
      <c r="D68" s="208">
        <v>23800000</v>
      </c>
      <c r="E68" s="192">
        <v>118100000</v>
      </c>
      <c r="F68" s="190">
        <v>29300000</v>
      </c>
      <c r="G68" s="192">
        <v>610400000</v>
      </c>
    </row>
    <row r="69" spans="1:7">
      <c r="A69" s="9" t="s">
        <v>5</v>
      </c>
      <c r="B69" s="206">
        <v>303</v>
      </c>
      <c r="C69" s="207">
        <v>76</v>
      </c>
      <c r="D69" s="207">
        <v>64</v>
      </c>
      <c r="E69" s="206">
        <v>140</v>
      </c>
      <c r="F69" s="207">
        <v>115</v>
      </c>
      <c r="G69" s="206">
        <v>625</v>
      </c>
    </row>
    <row r="70" spans="1:7">
      <c r="A70" s="9" t="s">
        <v>50</v>
      </c>
      <c r="B70" s="216">
        <v>51.901937632840038</v>
      </c>
      <c r="C70" s="194"/>
      <c r="D70" s="194"/>
      <c r="E70" s="196"/>
      <c r="F70" s="194"/>
      <c r="G70" s="196"/>
    </row>
    <row r="71" spans="1:7">
      <c r="A71" s="9" t="s">
        <v>6</v>
      </c>
      <c r="B71" s="191">
        <v>24553544.390000001</v>
      </c>
      <c r="C71" s="208">
        <v>4187358.72</v>
      </c>
      <c r="D71" s="208"/>
      <c r="E71" s="191">
        <v>4187358.72</v>
      </c>
      <c r="F71" s="208"/>
      <c r="G71" s="191">
        <v>28740903.109999999</v>
      </c>
    </row>
    <row r="72" spans="1:7" ht="17.25">
      <c r="A72" s="9" t="s">
        <v>414</v>
      </c>
      <c r="B72" s="214">
        <v>317734600.25374442</v>
      </c>
      <c r="C72" s="214">
        <v>390416188.02079326</v>
      </c>
      <c r="D72" s="214">
        <v>34419818.429252341</v>
      </c>
      <c r="E72" s="214">
        <v>475976771.95082438</v>
      </c>
      <c r="F72" s="214">
        <v>226561840.74102637</v>
      </c>
      <c r="G72" s="214">
        <v>702538612.6918509</v>
      </c>
    </row>
    <row r="73" spans="1:7">
      <c r="A73" s="9" t="s">
        <v>369</v>
      </c>
      <c r="B73" s="192"/>
      <c r="C73" s="190"/>
      <c r="D73" s="190"/>
      <c r="E73" s="192"/>
      <c r="F73" s="190"/>
      <c r="G73" s="192"/>
    </row>
    <row r="74" spans="1:7">
      <c r="A74" s="9" t="s">
        <v>8</v>
      </c>
      <c r="B74" s="191">
        <v>145742430.6120047</v>
      </c>
      <c r="C74" s="709"/>
      <c r="D74" s="709"/>
      <c r="E74" s="191">
        <v>85367868.858375832</v>
      </c>
      <c r="F74" s="208"/>
      <c r="G74" s="191">
        <v>231110299.47038054</v>
      </c>
    </row>
    <row r="75" spans="1:7">
      <c r="A75" s="9" t="s">
        <v>82</v>
      </c>
      <c r="B75" s="213">
        <v>11765830.922947409</v>
      </c>
      <c r="C75" s="214">
        <v>0</v>
      </c>
      <c r="D75" s="214">
        <v>0</v>
      </c>
      <c r="E75" s="214">
        <v>7469622.4672350744</v>
      </c>
      <c r="F75" s="214">
        <v>6284039.7778766854</v>
      </c>
      <c r="G75" s="213">
        <v>25519493.16805917</v>
      </c>
    </row>
    <row r="76" spans="1:7">
      <c r="A76" s="9" t="s">
        <v>9</v>
      </c>
      <c r="B76" s="196"/>
      <c r="C76" s="190"/>
      <c r="D76" s="190"/>
      <c r="E76" s="192"/>
      <c r="F76" s="190"/>
      <c r="G76" s="192"/>
    </row>
    <row r="77" spans="1:7" ht="8.1" customHeight="1">
      <c r="A77" s="29"/>
      <c r="B77" s="200"/>
      <c r="C77" s="200"/>
      <c r="D77" s="200"/>
      <c r="E77" s="200"/>
      <c r="F77" s="200"/>
      <c r="G77" s="200"/>
    </row>
    <row r="78" spans="1:7">
      <c r="A78" s="85" t="s">
        <v>10</v>
      </c>
      <c r="B78" s="202"/>
      <c r="C78" s="202"/>
      <c r="D78" s="202"/>
      <c r="E78" s="202"/>
      <c r="F78" s="202"/>
      <c r="G78" s="202"/>
    </row>
    <row r="79" spans="1:7">
      <c r="A79" s="217" t="s">
        <v>288</v>
      </c>
      <c r="B79" s="196"/>
      <c r="C79" s="196"/>
      <c r="D79" s="196"/>
      <c r="E79" s="196"/>
      <c r="F79" s="196"/>
      <c r="G79" s="196"/>
    </row>
    <row r="80" spans="1:7">
      <c r="A80" s="217" t="s">
        <v>291</v>
      </c>
      <c r="B80" s="196"/>
      <c r="C80" s="196"/>
      <c r="D80" s="196"/>
      <c r="E80" s="196"/>
      <c r="F80" s="196"/>
      <c r="G80" s="196"/>
    </row>
    <row r="81" spans="1:7">
      <c r="A81" s="217" t="s">
        <v>292</v>
      </c>
      <c r="B81" s="196"/>
      <c r="C81" s="196"/>
      <c r="D81" s="196"/>
      <c r="E81" s="196"/>
      <c r="F81" s="196"/>
      <c r="G81" s="196"/>
    </row>
    <row r="82" spans="1:7">
      <c r="A82" s="217" t="s">
        <v>293</v>
      </c>
      <c r="B82" s="196"/>
      <c r="C82" s="196"/>
      <c r="D82" s="196"/>
      <c r="E82" s="196"/>
      <c r="F82" s="196"/>
      <c r="G82" s="196"/>
    </row>
    <row r="85" spans="1:7">
      <c r="A85" s="12" t="s">
        <v>51</v>
      </c>
      <c r="B85" s="29"/>
      <c r="C85" s="29"/>
      <c r="D85" s="29"/>
      <c r="E85" s="29"/>
      <c r="F85" s="29"/>
      <c r="G85" s="203"/>
    </row>
    <row r="86" spans="1:7">
      <c r="A86" s="12" t="s">
        <v>234</v>
      </c>
      <c r="B86" s="204"/>
      <c r="E86" s="204"/>
      <c r="G86" s="204"/>
    </row>
    <row r="87" spans="1:7" ht="8.1" customHeight="1">
      <c r="A87" s="12"/>
      <c r="B87" s="204"/>
      <c r="E87" s="204"/>
      <c r="G87" s="204"/>
    </row>
    <row r="88" spans="1:7">
      <c r="A88" s="691" t="s">
        <v>0</v>
      </c>
      <c r="B88" s="691" t="s">
        <v>233</v>
      </c>
      <c r="C88" s="691" t="s">
        <v>43</v>
      </c>
      <c r="D88" s="708"/>
      <c r="E88" s="708"/>
      <c r="F88" s="691" t="s">
        <v>21</v>
      </c>
      <c r="G88" s="691" t="s">
        <v>44</v>
      </c>
    </row>
    <row r="89" spans="1:7" ht="30">
      <c r="A89" s="707" t="s">
        <v>0</v>
      </c>
      <c r="B89" s="691"/>
      <c r="C89" s="27" t="s">
        <v>47</v>
      </c>
      <c r="D89" s="27" t="s">
        <v>48</v>
      </c>
      <c r="E89" s="27" t="s">
        <v>10</v>
      </c>
      <c r="F89" s="708"/>
      <c r="G89" s="708"/>
    </row>
    <row r="90" spans="1:7" ht="8.1" customHeight="1">
      <c r="A90" s="18"/>
      <c r="B90" s="18"/>
      <c r="C90" s="18"/>
      <c r="D90" s="18"/>
      <c r="E90" s="18"/>
      <c r="F90" s="18"/>
      <c r="G90" s="18"/>
    </row>
    <row r="91" spans="1:7" hidden="1">
      <c r="A91" s="9" t="s">
        <v>3</v>
      </c>
      <c r="B91" s="192"/>
      <c r="C91" s="190"/>
      <c r="D91" s="190"/>
      <c r="E91" s="192"/>
      <c r="F91" s="190"/>
      <c r="G91" s="192"/>
    </row>
    <row r="92" spans="1:7">
      <c r="A92" s="9" t="s">
        <v>4</v>
      </c>
      <c r="B92" s="191">
        <v>500200000</v>
      </c>
      <c r="C92" s="190">
        <v>105700000</v>
      </c>
      <c r="D92" s="190">
        <v>24000000</v>
      </c>
      <c r="E92" s="192">
        <v>129800000</v>
      </c>
      <c r="F92" s="190">
        <v>25200000</v>
      </c>
      <c r="G92" s="192">
        <v>655200000</v>
      </c>
    </row>
    <row r="93" spans="1:7">
      <c r="A93" s="9" t="s">
        <v>5</v>
      </c>
      <c r="B93" s="206">
        <v>374</v>
      </c>
      <c r="C93" s="207">
        <v>78</v>
      </c>
      <c r="D93" s="207">
        <v>24</v>
      </c>
      <c r="E93" s="206">
        <v>102</v>
      </c>
      <c r="F93" s="207">
        <v>165</v>
      </c>
      <c r="G93" s="206">
        <v>659</v>
      </c>
    </row>
    <row r="94" spans="1:7">
      <c r="A94" s="9" t="s">
        <v>194</v>
      </c>
      <c r="B94" s="216">
        <v>54.403018080624634</v>
      </c>
      <c r="C94" s="194"/>
      <c r="D94" s="194"/>
      <c r="E94" s="196"/>
      <c r="F94" s="194"/>
      <c r="G94" s="196"/>
    </row>
    <row r="95" spans="1:7">
      <c r="A95" s="9" t="s">
        <v>6</v>
      </c>
      <c r="B95" s="195">
        <v>24045811.48</v>
      </c>
      <c r="C95" s="218">
        <v>3399128.91</v>
      </c>
      <c r="D95" s="218"/>
      <c r="E95" s="218">
        <v>3399128.91</v>
      </c>
      <c r="F95" s="218"/>
      <c r="G95" s="195">
        <v>27444940.390000001</v>
      </c>
    </row>
    <row r="96" spans="1:7" ht="17.25">
      <c r="A96" s="9" t="s">
        <v>414</v>
      </c>
      <c r="B96" s="214">
        <v>329695840.06022483</v>
      </c>
      <c r="C96" s="214">
        <v>468292951.51593894</v>
      </c>
      <c r="D96" s="214">
        <v>37711587.28399685</v>
      </c>
      <c r="E96" s="214">
        <v>562523269.60632205</v>
      </c>
      <c r="F96" s="214">
        <v>255260549.1550943</v>
      </c>
      <c r="G96" s="214">
        <v>817783818.76141644</v>
      </c>
    </row>
    <row r="97" spans="1:7">
      <c r="A97" s="9" t="s">
        <v>369</v>
      </c>
      <c r="B97" s="192"/>
      <c r="C97" s="190"/>
      <c r="D97" s="190"/>
      <c r="E97" s="192"/>
      <c r="F97" s="190"/>
      <c r="G97" s="192"/>
    </row>
    <row r="98" spans="1:7">
      <c r="A98" s="9" t="s">
        <v>8</v>
      </c>
      <c r="B98" s="191">
        <v>163009230.88729876</v>
      </c>
      <c r="C98" s="709"/>
      <c r="D98" s="709"/>
      <c r="E98" s="191">
        <v>74809928.815742403</v>
      </c>
      <c r="F98" s="208"/>
      <c r="G98" s="191">
        <v>237819159.70304117</v>
      </c>
    </row>
    <row r="99" spans="1:7">
      <c r="A99" s="9" t="s">
        <v>82</v>
      </c>
      <c r="B99" s="213">
        <v>13825584.929062454</v>
      </c>
      <c r="C99" s="214">
        <v>0</v>
      </c>
      <c r="D99" s="214">
        <v>0</v>
      </c>
      <c r="E99" s="214">
        <v>8696883.4986105002</v>
      </c>
      <c r="F99" s="214">
        <v>7406223.8057627613</v>
      </c>
      <c r="G99" s="213">
        <v>29928692.233435716</v>
      </c>
    </row>
    <row r="100" spans="1:7">
      <c r="A100" s="9" t="s">
        <v>9</v>
      </c>
      <c r="B100" s="196"/>
      <c r="C100" s="190"/>
      <c r="D100" s="190"/>
      <c r="E100" s="192"/>
      <c r="F100" s="190"/>
      <c r="G100" s="192"/>
    </row>
    <row r="101" spans="1:7" ht="8.1" customHeight="1">
      <c r="A101" s="29"/>
      <c r="B101" s="200"/>
      <c r="C101" s="200"/>
      <c r="D101" s="200"/>
      <c r="E101" s="200"/>
      <c r="F101" s="200"/>
      <c r="G101" s="200"/>
    </row>
    <row r="102" spans="1:7">
      <c r="A102" s="85" t="s">
        <v>10</v>
      </c>
      <c r="B102" s="202"/>
      <c r="C102" s="202"/>
      <c r="D102" s="202"/>
      <c r="E102" s="202"/>
      <c r="F102" s="202"/>
      <c r="G102" s="202"/>
    </row>
    <row r="103" spans="1:7">
      <c r="A103" s="219" t="s">
        <v>288</v>
      </c>
      <c r="B103" s="196"/>
      <c r="C103" s="196"/>
      <c r="D103" s="196"/>
      <c r="E103" s="196"/>
      <c r="F103" s="196"/>
      <c r="G103" s="196"/>
    </row>
    <row r="104" spans="1:7">
      <c r="A104" s="217" t="s">
        <v>291</v>
      </c>
      <c r="B104" s="196"/>
      <c r="C104" s="196"/>
      <c r="D104" s="196"/>
      <c r="E104" s="196"/>
      <c r="F104" s="196"/>
      <c r="G104" s="196"/>
    </row>
    <row r="105" spans="1:7">
      <c r="A105" s="217" t="s">
        <v>292</v>
      </c>
      <c r="B105" s="196"/>
      <c r="C105" s="196"/>
      <c r="D105" s="196"/>
      <c r="E105" s="196"/>
      <c r="F105" s="196"/>
      <c r="G105" s="196"/>
    </row>
    <row r="106" spans="1:7">
      <c r="A106" s="217" t="s">
        <v>293</v>
      </c>
    </row>
    <row r="108" spans="1:7">
      <c r="A108" s="12" t="s">
        <v>51</v>
      </c>
      <c r="B108" s="29"/>
      <c r="C108" s="29"/>
      <c r="D108" s="29"/>
      <c r="E108" s="29"/>
      <c r="F108" s="29"/>
      <c r="G108" s="203"/>
    </row>
    <row r="109" spans="1:7">
      <c r="A109" s="12" t="s">
        <v>235</v>
      </c>
      <c r="B109" s="204"/>
      <c r="E109" s="204"/>
      <c r="G109" s="204"/>
    </row>
    <row r="110" spans="1:7" ht="8.1" customHeight="1">
      <c r="A110" s="12"/>
      <c r="B110" s="204"/>
      <c r="E110" s="204"/>
      <c r="G110" s="204"/>
    </row>
    <row r="111" spans="1:7">
      <c r="A111" s="691" t="s">
        <v>0</v>
      </c>
      <c r="B111" s="691" t="s">
        <v>233</v>
      </c>
      <c r="C111" s="691" t="s">
        <v>43</v>
      </c>
      <c r="D111" s="708"/>
      <c r="E111" s="708"/>
      <c r="F111" s="691" t="s">
        <v>21</v>
      </c>
      <c r="G111" s="691" t="s">
        <v>44</v>
      </c>
    </row>
    <row r="112" spans="1:7" ht="30">
      <c r="A112" s="707" t="s">
        <v>0</v>
      </c>
      <c r="B112" s="691"/>
      <c r="C112" s="27" t="s">
        <v>47</v>
      </c>
      <c r="D112" s="27" t="s">
        <v>48</v>
      </c>
      <c r="E112" s="27" t="s">
        <v>10</v>
      </c>
      <c r="F112" s="708"/>
      <c r="G112" s="708"/>
    </row>
    <row r="113" spans="1:7" ht="8.1" customHeight="1">
      <c r="A113" s="18"/>
      <c r="B113" s="18"/>
      <c r="C113" s="18"/>
      <c r="D113" s="18"/>
      <c r="E113" s="18"/>
      <c r="F113" s="18"/>
      <c r="G113" s="18"/>
    </row>
    <row r="114" spans="1:7" hidden="1">
      <c r="A114" s="9" t="s">
        <v>3</v>
      </c>
      <c r="B114" s="192"/>
      <c r="C114" s="190"/>
      <c r="D114" s="190"/>
      <c r="E114" s="192"/>
      <c r="F114" s="190"/>
      <c r="G114" s="192"/>
    </row>
    <row r="115" spans="1:7">
      <c r="A115" s="9" t="s">
        <v>4</v>
      </c>
      <c r="B115" s="191">
        <v>450300000</v>
      </c>
      <c r="C115" s="208">
        <v>94900000</v>
      </c>
      <c r="D115" s="208">
        <v>30500000</v>
      </c>
      <c r="E115" s="191">
        <v>124900000</v>
      </c>
      <c r="F115" s="190">
        <v>26800000</v>
      </c>
      <c r="G115" s="191">
        <v>602100000</v>
      </c>
    </row>
    <row r="116" spans="1:7">
      <c r="A116" s="9" t="s">
        <v>5</v>
      </c>
      <c r="B116" s="195">
        <v>160</v>
      </c>
      <c r="C116" s="207">
        <v>70</v>
      </c>
      <c r="D116" s="207">
        <v>22</v>
      </c>
      <c r="E116" s="195">
        <v>92</v>
      </c>
      <c r="F116" s="207">
        <v>182</v>
      </c>
      <c r="G116" s="195">
        <v>571</v>
      </c>
    </row>
    <row r="117" spans="1:7">
      <c r="A117" s="9" t="s">
        <v>194</v>
      </c>
      <c r="B117" s="195">
        <v>52.070861628827515</v>
      </c>
      <c r="C117" s="194"/>
      <c r="D117" s="194"/>
      <c r="E117" s="195"/>
      <c r="F117" s="194"/>
      <c r="G117" s="195"/>
    </row>
    <row r="118" spans="1:7">
      <c r="A118" s="9" t="s">
        <v>6</v>
      </c>
      <c r="B118" s="191">
        <v>25950847.060000002</v>
      </c>
      <c r="C118" s="208">
        <v>4581975.3499999996</v>
      </c>
      <c r="D118" s="208"/>
      <c r="E118" s="191">
        <v>4581975.3499999996</v>
      </c>
      <c r="F118" s="208"/>
      <c r="G118" s="195">
        <v>30532822.41</v>
      </c>
    </row>
    <row r="119" spans="1:7" ht="17.25">
      <c r="A119" s="9" t="s">
        <v>414</v>
      </c>
      <c r="B119" s="191">
        <v>284233519.20441747</v>
      </c>
      <c r="C119" s="214">
        <v>456266026.2932964</v>
      </c>
      <c r="D119" s="214">
        <v>28355515.758340456</v>
      </c>
      <c r="E119" s="191">
        <v>538347782.43586087</v>
      </c>
      <c r="F119" s="214">
        <v>236748205.7335124</v>
      </c>
      <c r="G119" s="191">
        <v>775095988.16937327</v>
      </c>
    </row>
    <row r="120" spans="1:7">
      <c r="A120" s="9" t="s">
        <v>369</v>
      </c>
      <c r="B120" s="220">
        <v>0.52</v>
      </c>
      <c r="C120" s="221">
        <f>10461/1000000</f>
        <v>1.0461E-2</v>
      </c>
      <c r="D120" s="221">
        <f>4700/1000000</f>
        <v>4.7000000000000002E-3</v>
      </c>
      <c r="E120" s="220">
        <v>0.54</v>
      </c>
      <c r="F120" s="221">
        <f>31988.19/1000000</f>
        <v>3.198819E-2</v>
      </c>
      <c r="G120" s="191">
        <v>0.56999999999999995</v>
      </c>
    </row>
    <row r="121" spans="1:7">
      <c r="A121" s="9" t="s">
        <v>8</v>
      </c>
      <c r="B121" s="191">
        <v>128642620.37932192</v>
      </c>
      <c r="C121" s="709"/>
      <c r="D121" s="709"/>
      <c r="E121" s="191">
        <v>61176257.294394098</v>
      </c>
      <c r="F121" s="190"/>
      <c r="G121" s="191">
        <v>189818877.67371601</v>
      </c>
    </row>
    <row r="122" spans="1:7">
      <c r="A122" s="9" t="s">
        <v>82</v>
      </c>
      <c r="B122" s="191">
        <v>13806764.98087164</v>
      </c>
      <c r="C122" s="222">
        <v>0</v>
      </c>
      <c r="D122" s="222">
        <v>0</v>
      </c>
      <c r="E122" s="191">
        <v>10203544.008780528</v>
      </c>
      <c r="F122" s="214">
        <v>7211152.218393038</v>
      </c>
      <c r="G122" s="191">
        <v>31221461.208045207</v>
      </c>
    </row>
    <row r="123" spans="1:7">
      <c r="A123" s="9" t="s">
        <v>9</v>
      </c>
      <c r="B123" s="223">
        <v>20.634351925776787</v>
      </c>
      <c r="C123" s="72">
        <v>8.8398666938136934</v>
      </c>
      <c r="D123" s="72">
        <v>6.5550210422147259</v>
      </c>
      <c r="E123" s="223">
        <v>15.394887736028419</v>
      </c>
      <c r="F123" s="72">
        <v>17.878194708473085</v>
      </c>
      <c r="G123" s="223">
        <v>53.907434370278288</v>
      </c>
    </row>
    <row r="124" spans="1:7" ht="8.1" customHeight="1">
      <c r="A124" s="29"/>
      <c r="B124" s="200"/>
      <c r="C124" s="200"/>
      <c r="D124" s="200"/>
      <c r="E124" s="200"/>
      <c r="F124" s="200"/>
      <c r="G124" s="200"/>
    </row>
    <row r="125" spans="1:7">
      <c r="A125" s="85" t="s">
        <v>10</v>
      </c>
      <c r="B125" s="202"/>
      <c r="C125" s="202"/>
      <c r="D125" s="202"/>
      <c r="E125" s="202"/>
      <c r="F125" s="202"/>
      <c r="G125" s="202"/>
    </row>
    <row r="126" spans="1:7">
      <c r="A126" s="217" t="s">
        <v>288</v>
      </c>
    </row>
    <row r="127" spans="1:7">
      <c r="A127" s="217" t="s">
        <v>291</v>
      </c>
    </row>
    <row r="128" spans="1:7">
      <c r="A128" s="217" t="s">
        <v>292</v>
      </c>
    </row>
    <row r="129" spans="1:7">
      <c r="A129" s="217" t="s">
        <v>293</v>
      </c>
    </row>
    <row r="131" spans="1:7">
      <c r="A131" s="12" t="s">
        <v>51</v>
      </c>
      <c r="B131" s="29"/>
      <c r="C131" s="29"/>
      <c r="D131" s="29"/>
      <c r="E131" s="29"/>
      <c r="F131" s="29"/>
      <c r="G131" s="203"/>
    </row>
    <row r="132" spans="1:7">
      <c r="A132" s="12" t="s">
        <v>359</v>
      </c>
      <c r="B132" s="204"/>
      <c r="E132" s="204"/>
      <c r="G132" s="204"/>
    </row>
    <row r="133" spans="1:7">
      <c r="A133" s="12"/>
      <c r="B133" s="204"/>
      <c r="E133" s="204"/>
      <c r="G133" s="204"/>
    </row>
    <row r="134" spans="1:7">
      <c r="A134" s="691" t="s">
        <v>0</v>
      </c>
      <c r="B134" s="691" t="s">
        <v>233</v>
      </c>
      <c r="C134" s="691" t="s">
        <v>43</v>
      </c>
      <c r="D134" s="708"/>
      <c r="E134" s="708"/>
      <c r="F134" s="691" t="s">
        <v>21</v>
      </c>
      <c r="G134" s="691" t="s">
        <v>44</v>
      </c>
    </row>
    <row r="135" spans="1:7" ht="30">
      <c r="A135" s="707" t="s">
        <v>0</v>
      </c>
      <c r="B135" s="691"/>
      <c r="C135" s="27" t="s">
        <v>47</v>
      </c>
      <c r="D135" s="27" t="s">
        <v>48</v>
      </c>
      <c r="E135" s="27" t="s">
        <v>10</v>
      </c>
      <c r="F135" s="708"/>
      <c r="G135" s="708"/>
    </row>
    <row r="136" spans="1:7">
      <c r="A136" s="18"/>
      <c r="B136" s="18"/>
      <c r="C136" s="18"/>
      <c r="D136" s="18"/>
      <c r="E136" s="18"/>
      <c r="F136" s="18"/>
      <c r="G136" s="18"/>
    </row>
    <row r="137" spans="1:7" hidden="1">
      <c r="A137" s="9" t="s">
        <v>3</v>
      </c>
      <c r="B137" s="192"/>
      <c r="C137" s="190"/>
      <c r="D137" s="190"/>
      <c r="E137" s="192"/>
      <c r="F137" s="190"/>
      <c r="G137" s="192"/>
    </row>
    <row r="138" spans="1:7">
      <c r="A138" s="9" t="s">
        <v>4</v>
      </c>
      <c r="B138" s="191">
        <v>431201618.74063402</v>
      </c>
      <c r="C138" s="208">
        <v>94552923.629372001</v>
      </c>
      <c r="D138" s="208">
        <v>19874890.434585899</v>
      </c>
      <c r="E138" s="208">
        <v>114427814.063958</v>
      </c>
      <c r="F138" s="190">
        <v>23844439.731953502</v>
      </c>
      <c r="G138" s="208">
        <v>569473872.53654504</v>
      </c>
    </row>
    <row r="139" spans="1:7">
      <c r="A139" s="9" t="s">
        <v>5</v>
      </c>
      <c r="B139" s="195"/>
      <c r="C139" s="207"/>
      <c r="D139" s="207"/>
      <c r="E139" s="195"/>
      <c r="F139" s="207"/>
      <c r="G139" s="195"/>
    </row>
    <row r="140" spans="1:7">
      <c r="A140" s="9" t="s">
        <v>194</v>
      </c>
      <c r="B140" s="224">
        <v>56.628115952927018</v>
      </c>
      <c r="C140" s="194"/>
      <c r="D140" s="194"/>
      <c r="E140" s="195"/>
      <c r="F140" s="194"/>
      <c r="G140" s="195"/>
    </row>
    <row r="141" spans="1:7">
      <c r="A141" s="9" t="s">
        <v>6</v>
      </c>
      <c r="B141" s="208">
        <v>25711398.530000001</v>
      </c>
      <c r="C141" s="208">
        <v>3800060.93</v>
      </c>
      <c r="D141" s="208"/>
      <c r="E141" s="208">
        <v>3800060.93</v>
      </c>
      <c r="F141" s="208"/>
      <c r="G141" s="218">
        <v>29511459.460000001</v>
      </c>
    </row>
    <row r="142" spans="1:7" ht="17.25">
      <c r="A142" s="9" t="s">
        <v>414</v>
      </c>
      <c r="B142" s="225">
        <v>263.51150026320829</v>
      </c>
      <c r="C142" s="225">
        <v>317.88189307657967</v>
      </c>
      <c r="D142" s="225">
        <v>25.609075991813882</v>
      </c>
      <c r="E142" s="225">
        <v>397.94496917216952</v>
      </c>
      <c r="F142" s="225">
        <v>219.97562903813042</v>
      </c>
      <c r="G142" s="225">
        <v>617.9205982103</v>
      </c>
    </row>
    <row r="143" spans="1:7">
      <c r="A143" s="9" t="s">
        <v>369</v>
      </c>
      <c r="B143" s="226">
        <v>0.56000000000000005</v>
      </c>
      <c r="C143" s="221">
        <v>7.0000000000000001E-3</v>
      </c>
      <c r="D143" s="221">
        <v>1.5399999999999999E-3</v>
      </c>
      <c r="E143" s="226">
        <v>0.56999999999999995</v>
      </c>
      <c r="F143" s="221">
        <v>2.8E-3</v>
      </c>
      <c r="G143" s="208">
        <v>0.56999999999999995</v>
      </c>
    </row>
    <row r="144" spans="1:7">
      <c r="A144" s="9" t="s">
        <v>8</v>
      </c>
      <c r="B144" s="224">
        <v>127.03630219970664</v>
      </c>
      <c r="C144" s="224"/>
      <c r="D144" s="224"/>
      <c r="E144" s="224">
        <v>53.742876292451776</v>
      </c>
      <c r="F144" s="224"/>
      <c r="G144" s="224">
        <v>180.77917849215842</v>
      </c>
    </row>
    <row r="145" spans="1:7">
      <c r="A145" s="9" t="s">
        <v>82</v>
      </c>
      <c r="B145" s="208">
        <v>13024434.30542662</v>
      </c>
      <c r="D145" s="222"/>
      <c r="E145" s="222">
        <v>11316074.618093129</v>
      </c>
      <c r="F145" s="214">
        <v>8235319.9338632328</v>
      </c>
      <c r="G145" s="208">
        <v>32575828.857382983</v>
      </c>
    </row>
    <row r="146" spans="1:7">
      <c r="A146" s="9" t="s">
        <v>9</v>
      </c>
      <c r="B146" s="225">
        <v>19.387412580599516</v>
      </c>
      <c r="C146" s="225">
        <v>7.3810644169733424</v>
      </c>
      <c r="D146" s="225">
        <v>5.3558666525808309</v>
      </c>
      <c r="E146" s="225">
        <v>12.736931069554174</v>
      </c>
      <c r="F146" s="225">
        <v>18.286121691998957</v>
      </c>
      <c r="G146" s="225">
        <v>50.410465342152648</v>
      </c>
    </row>
    <row r="147" spans="1:7">
      <c r="A147" s="29"/>
      <c r="B147" s="200"/>
      <c r="C147" s="200"/>
      <c r="D147" s="200"/>
      <c r="E147" s="200"/>
      <c r="F147" s="200"/>
      <c r="G147" s="200"/>
    </row>
    <row r="148" spans="1:7">
      <c r="A148" s="85" t="s">
        <v>10</v>
      </c>
      <c r="B148" s="202"/>
      <c r="C148" s="202"/>
      <c r="D148" s="202"/>
      <c r="E148" s="202"/>
      <c r="F148" s="202"/>
      <c r="G148" s="202"/>
    </row>
    <row r="149" spans="1:7">
      <c r="A149" s="217" t="s">
        <v>288</v>
      </c>
    </row>
    <row r="150" spans="1:7">
      <c r="A150" s="217" t="s">
        <v>291</v>
      </c>
    </row>
    <row r="151" spans="1:7">
      <c r="A151" s="217" t="s">
        <v>292</v>
      </c>
    </row>
    <row r="152" spans="1:7">
      <c r="A152" s="217" t="s">
        <v>293</v>
      </c>
    </row>
    <row r="154" spans="1:7">
      <c r="A154" s="12" t="s">
        <v>51</v>
      </c>
      <c r="B154" s="29"/>
      <c r="C154" s="29"/>
      <c r="D154" s="29"/>
      <c r="E154" s="29"/>
      <c r="F154" s="29"/>
      <c r="G154" s="203"/>
    </row>
    <row r="155" spans="1:7">
      <c r="A155" s="12" t="s">
        <v>376</v>
      </c>
      <c r="B155" s="204"/>
      <c r="E155" s="204"/>
      <c r="G155" s="204"/>
    </row>
    <row r="156" spans="1:7">
      <c r="A156" s="12"/>
      <c r="B156" s="204"/>
      <c r="E156" s="204"/>
      <c r="G156" s="204"/>
    </row>
    <row r="157" spans="1:7">
      <c r="A157" s="691" t="s">
        <v>0</v>
      </c>
      <c r="B157" s="691" t="s">
        <v>233</v>
      </c>
      <c r="C157" s="691" t="s">
        <v>43</v>
      </c>
      <c r="D157" s="708"/>
      <c r="E157" s="708"/>
      <c r="F157" s="691" t="s">
        <v>21</v>
      </c>
      <c r="G157" s="691" t="s">
        <v>44</v>
      </c>
    </row>
    <row r="158" spans="1:7" ht="30">
      <c r="A158" s="707" t="s">
        <v>0</v>
      </c>
      <c r="B158" s="691"/>
      <c r="C158" s="27" t="s">
        <v>47</v>
      </c>
      <c r="D158" s="27" t="s">
        <v>48</v>
      </c>
      <c r="E158" s="27" t="s">
        <v>10</v>
      </c>
      <c r="F158" s="708"/>
      <c r="G158" s="708"/>
    </row>
    <row r="159" spans="1:7">
      <c r="A159" s="18"/>
      <c r="B159" s="18"/>
      <c r="C159" s="18"/>
      <c r="D159" s="18"/>
      <c r="E159" s="18"/>
      <c r="F159" s="18"/>
      <c r="G159" s="18"/>
    </row>
    <row r="160" spans="1:7" hidden="1">
      <c r="A160" s="9" t="s">
        <v>3</v>
      </c>
      <c r="B160" s="192"/>
      <c r="C160" s="190"/>
      <c r="D160" s="190"/>
      <c r="E160" s="192"/>
      <c r="F160" s="190"/>
      <c r="G160" s="192"/>
    </row>
    <row r="161" spans="1:7">
      <c r="A161" s="9" t="s">
        <v>4</v>
      </c>
      <c r="B161" s="191">
        <v>445419273.4792968</v>
      </c>
      <c r="C161" s="208">
        <v>106031094.42671104</v>
      </c>
      <c r="D161" s="208">
        <v>22610111.046171825</v>
      </c>
      <c r="E161" s="191">
        <f>SUM(C161:D161)</f>
        <v>128641205.47288287</v>
      </c>
      <c r="F161" s="190">
        <v>23330575.911522724</v>
      </c>
      <c r="G161" s="191">
        <f>+B161+E161+F161</f>
        <v>597391054.86370242</v>
      </c>
    </row>
    <row r="162" spans="1:7">
      <c r="A162" s="9" t="s">
        <v>5</v>
      </c>
      <c r="B162" s="227">
        <v>147</v>
      </c>
      <c r="C162" s="228">
        <v>52</v>
      </c>
      <c r="D162" s="228">
        <v>14</v>
      </c>
      <c r="E162" s="227">
        <v>66</v>
      </c>
      <c r="F162" s="228">
        <v>223</v>
      </c>
      <c r="G162" s="227">
        <v>484</v>
      </c>
    </row>
    <row r="163" spans="1:7">
      <c r="A163" s="9" t="s">
        <v>194</v>
      </c>
      <c r="B163" s="229">
        <v>55.7</v>
      </c>
      <c r="C163" s="194"/>
      <c r="D163" s="194"/>
      <c r="E163" s="195"/>
      <c r="F163" s="194"/>
      <c r="G163" s="195"/>
    </row>
    <row r="164" spans="1:7">
      <c r="A164" s="9" t="s">
        <v>6</v>
      </c>
      <c r="B164" s="191">
        <v>27175636.299999997</v>
      </c>
      <c r="C164" s="208">
        <v>3791995.78</v>
      </c>
      <c r="D164" s="208"/>
      <c r="E164" s="191">
        <v>3791995.78</v>
      </c>
      <c r="F164" s="208"/>
      <c r="G164" s="195">
        <v>30967632.079999998</v>
      </c>
    </row>
    <row r="165" spans="1:7" ht="17.25">
      <c r="A165" s="9" t="s">
        <v>414</v>
      </c>
      <c r="B165" s="230">
        <v>227.1049636643161</v>
      </c>
      <c r="C165" s="225">
        <v>243.64781179423264</v>
      </c>
      <c r="D165" s="225">
        <v>24.465569036441408</v>
      </c>
      <c r="E165" s="230">
        <v>321.13248177250557</v>
      </c>
      <c r="F165" s="225">
        <v>217.60301993122982</v>
      </c>
      <c r="G165" s="230">
        <v>538.73550170373539</v>
      </c>
    </row>
    <row r="166" spans="1:7">
      <c r="A166" s="9" t="s">
        <v>369</v>
      </c>
      <c r="B166" s="220">
        <v>0.53367838999999995</v>
      </c>
      <c r="C166" s="221">
        <v>8.3362999999999996E-3</v>
      </c>
      <c r="D166" s="221">
        <v>2.9420000000000002E-2</v>
      </c>
      <c r="E166" s="220">
        <f>B166+C166+D166</f>
        <v>0.57143468999999991</v>
      </c>
      <c r="F166" s="221">
        <v>4.7783399999999998E-3</v>
      </c>
      <c r="G166" s="220">
        <f>E166+F166</f>
        <v>0.5762130299999999</v>
      </c>
    </row>
    <row r="167" spans="1:7">
      <c r="A167" s="9" t="s">
        <v>8</v>
      </c>
      <c r="B167" s="231">
        <v>127.03630219970664</v>
      </c>
      <c r="C167" s="224"/>
      <c r="D167" s="224"/>
      <c r="E167" s="224">
        <v>53.742876292451776</v>
      </c>
      <c r="F167" s="224"/>
      <c r="G167" s="231">
        <v>180.77917849215842</v>
      </c>
    </row>
    <row r="168" spans="1:7">
      <c r="A168" s="9" t="s">
        <v>82</v>
      </c>
      <c r="B168" s="231">
        <v>19.753892632045691</v>
      </c>
      <c r="D168" s="222"/>
      <c r="E168" s="232">
        <v>18.484198709895377</v>
      </c>
      <c r="F168" s="232">
        <v>12.118213870208296</v>
      </c>
      <c r="G168" s="231">
        <f>+F168+E168+B168</f>
        <v>50.356305212149366</v>
      </c>
    </row>
    <row r="169" spans="1:7">
      <c r="A169" s="9" t="s">
        <v>9</v>
      </c>
      <c r="B169" s="233">
        <v>21.738202710637395</v>
      </c>
      <c r="C169" s="72">
        <v>6.3588937793216065</v>
      </c>
      <c r="D169" s="72">
        <v>4.9014792999080026</v>
      </c>
      <c r="E169" s="72">
        <f>+C169+D169</f>
        <v>11.260373079229609</v>
      </c>
      <c r="F169" s="72">
        <v>17.687583066469227</v>
      </c>
      <c r="G169" s="233">
        <f>+B169+E169+F169</f>
        <v>50.686158856336235</v>
      </c>
    </row>
    <row r="170" spans="1:7">
      <c r="A170" s="29"/>
      <c r="B170" s="200"/>
      <c r="C170" s="200"/>
      <c r="D170" s="200"/>
      <c r="E170" s="200"/>
      <c r="F170" s="200"/>
      <c r="G170" s="200"/>
    </row>
    <row r="171" spans="1:7">
      <c r="A171" s="85" t="s">
        <v>10</v>
      </c>
      <c r="B171" s="202"/>
      <c r="C171" s="202"/>
      <c r="D171" s="202"/>
      <c r="E171" s="202"/>
      <c r="F171" s="202"/>
      <c r="G171" s="202"/>
    </row>
    <row r="172" spans="1:7">
      <c r="A172" s="217" t="s">
        <v>288</v>
      </c>
    </row>
    <row r="173" spans="1:7">
      <c r="A173" s="217" t="s">
        <v>291</v>
      </c>
    </row>
    <row r="174" spans="1:7">
      <c r="A174" s="217" t="s">
        <v>292</v>
      </c>
    </row>
    <row r="175" spans="1:7">
      <c r="A175" s="217" t="s">
        <v>293</v>
      </c>
    </row>
    <row r="177" spans="1:7">
      <c r="A177" s="12" t="s">
        <v>51</v>
      </c>
      <c r="B177" s="29"/>
      <c r="C177" s="29"/>
      <c r="D177" s="29"/>
      <c r="E177" s="29"/>
      <c r="F177" s="29"/>
      <c r="G177" s="203"/>
    </row>
    <row r="178" spans="1:7">
      <c r="A178" s="12" t="s">
        <v>384</v>
      </c>
      <c r="B178" s="204"/>
      <c r="E178" s="204"/>
      <c r="G178" s="204"/>
    </row>
    <row r="179" spans="1:7">
      <c r="A179" s="12"/>
      <c r="B179" s="204"/>
      <c r="E179" s="204"/>
      <c r="G179" s="204"/>
    </row>
    <row r="180" spans="1:7">
      <c r="A180" s="691" t="s">
        <v>0</v>
      </c>
      <c r="B180" s="691" t="s">
        <v>233</v>
      </c>
      <c r="C180" s="691" t="s">
        <v>43</v>
      </c>
      <c r="D180" s="708"/>
      <c r="E180" s="708"/>
      <c r="F180" s="691" t="s">
        <v>21</v>
      </c>
      <c r="G180" s="691" t="s">
        <v>44</v>
      </c>
    </row>
    <row r="181" spans="1:7" ht="30">
      <c r="A181" s="707" t="s">
        <v>0</v>
      </c>
      <c r="B181" s="691"/>
      <c r="C181" s="27" t="s">
        <v>47</v>
      </c>
      <c r="D181" s="27" t="s">
        <v>48</v>
      </c>
      <c r="E181" s="27" t="s">
        <v>10</v>
      </c>
      <c r="F181" s="708"/>
      <c r="G181" s="708"/>
    </row>
    <row r="182" spans="1:7">
      <c r="A182" s="18"/>
      <c r="B182" s="18"/>
      <c r="C182" s="18"/>
      <c r="D182" s="18"/>
      <c r="E182" s="18"/>
      <c r="F182" s="18"/>
      <c r="G182" s="18"/>
    </row>
    <row r="183" spans="1:7">
      <c r="A183" s="9" t="s">
        <v>3</v>
      </c>
      <c r="B183" s="192"/>
      <c r="C183" s="190"/>
      <c r="D183" s="190"/>
      <c r="E183" s="192"/>
      <c r="F183" s="190"/>
      <c r="G183" s="192"/>
    </row>
    <row r="184" spans="1:7">
      <c r="A184" s="9" t="s">
        <v>4</v>
      </c>
      <c r="B184" s="129">
        <v>538.82571600403105</v>
      </c>
      <c r="C184" s="129">
        <v>125.76319040343292</v>
      </c>
      <c r="D184" s="129">
        <v>30.967067065440006</v>
      </c>
      <c r="E184" s="129">
        <v>156.73025746887294</v>
      </c>
      <c r="F184" s="129">
        <v>26.722574038555308</v>
      </c>
      <c r="G184" s="234">
        <v>722.27854751145924</v>
      </c>
    </row>
    <row r="185" spans="1:7">
      <c r="A185" s="9" t="s">
        <v>5</v>
      </c>
      <c r="B185" s="129">
        <v>163</v>
      </c>
      <c r="C185" s="129">
        <v>59</v>
      </c>
      <c r="D185" s="129">
        <v>8</v>
      </c>
      <c r="E185" s="129">
        <f>+C185+D185</f>
        <v>67</v>
      </c>
      <c r="F185" s="129">
        <v>217</v>
      </c>
      <c r="G185" s="234">
        <v>447</v>
      </c>
    </row>
    <row r="186" spans="1:7">
      <c r="A186" s="9" t="s">
        <v>194</v>
      </c>
      <c r="B186" s="129">
        <v>53.289949</v>
      </c>
      <c r="C186" s="129"/>
      <c r="D186" s="129"/>
      <c r="E186" s="129"/>
      <c r="F186" s="129"/>
      <c r="G186" s="234"/>
    </row>
    <row r="187" spans="1:7">
      <c r="A187" s="9" t="s">
        <v>6</v>
      </c>
      <c r="B187" s="129">
        <v>29.809816000000001</v>
      </c>
      <c r="C187" s="129">
        <v>3.6120269999999999</v>
      </c>
      <c r="D187" s="129"/>
      <c r="E187" s="129">
        <v>3.6120269999999999</v>
      </c>
      <c r="F187" s="129"/>
      <c r="G187" s="234">
        <v>33.421843000000003</v>
      </c>
    </row>
    <row r="188" spans="1:7" ht="17.25">
      <c r="A188" s="9" t="s">
        <v>414</v>
      </c>
      <c r="B188" s="129">
        <v>288.4730974057743</v>
      </c>
      <c r="C188" s="129">
        <v>274.72068738487206</v>
      </c>
      <c r="D188" s="129">
        <v>28.564117106327142</v>
      </c>
      <c r="E188" s="129">
        <v>362.97249325582698</v>
      </c>
      <c r="F188" s="129">
        <v>260.31897676131189</v>
      </c>
      <c r="G188" s="234">
        <v>623.29147001713886</v>
      </c>
    </row>
    <row r="189" spans="1:7">
      <c r="A189" s="9" t="s">
        <v>369</v>
      </c>
      <c r="B189" s="129">
        <v>0.59</v>
      </c>
      <c r="C189" s="129">
        <v>8.9999999999999993E-3</v>
      </c>
      <c r="D189" s="129">
        <v>2E-3</v>
      </c>
      <c r="E189" s="129">
        <v>1.0999999999999999E-2</v>
      </c>
      <c r="F189" s="129">
        <v>1.0999999999999999E-2</v>
      </c>
      <c r="G189" s="234">
        <v>0.61199999999999999</v>
      </c>
    </row>
    <row r="190" spans="1:7">
      <c r="A190" s="9" t="s">
        <v>8</v>
      </c>
      <c r="B190" s="129">
        <v>138.09998019060643</v>
      </c>
      <c r="C190" s="129"/>
      <c r="D190" s="129"/>
      <c r="E190" s="129">
        <v>49.732759734652234</v>
      </c>
      <c r="F190" s="129"/>
      <c r="G190" s="234">
        <v>187.83273992525866</v>
      </c>
    </row>
    <row r="191" spans="1:7">
      <c r="A191" s="9" t="s">
        <v>82</v>
      </c>
      <c r="B191" s="129">
        <v>16.627286779175872</v>
      </c>
      <c r="C191" s="129">
        <v>0</v>
      </c>
      <c r="D191" s="129">
        <v>0</v>
      </c>
      <c r="E191" s="129">
        <v>14.392834007952143</v>
      </c>
      <c r="F191" s="129">
        <v>9.8465391798139414</v>
      </c>
      <c r="G191" s="234">
        <v>40.866659966941953</v>
      </c>
    </row>
    <row r="192" spans="1:7">
      <c r="A192" s="9" t="s">
        <v>9</v>
      </c>
      <c r="B192" s="129">
        <v>25.398300277150881</v>
      </c>
      <c r="C192" s="129">
        <v>7.5860413363927135</v>
      </c>
      <c r="D192" s="129">
        <v>5.9152813178984847</v>
      </c>
      <c r="E192" s="129">
        <f>+B192+C192+D192</f>
        <v>38.899622931442075</v>
      </c>
      <c r="F192" s="129">
        <v>27.193987449589798</v>
      </c>
      <c r="G192" s="234">
        <f>+F192+E192</f>
        <v>66.09361038103188</v>
      </c>
    </row>
    <row r="193" spans="1:7">
      <c r="A193" s="29"/>
      <c r="B193" s="200"/>
      <c r="C193" s="200"/>
      <c r="D193" s="200"/>
      <c r="E193" s="200"/>
      <c r="F193" s="200"/>
      <c r="G193" s="200"/>
    </row>
    <row r="194" spans="1:7">
      <c r="A194" s="85" t="s">
        <v>10</v>
      </c>
      <c r="B194" s="202"/>
      <c r="C194" s="202"/>
      <c r="D194" s="202"/>
      <c r="E194" s="202"/>
      <c r="F194" s="202"/>
      <c r="G194" s="202"/>
    </row>
    <row r="195" spans="1:7">
      <c r="A195" s="132" t="s">
        <v>60</v>
      </c>
    </row>
    <row r="196" spans="1:7">
      <c r="A196" s="217" t="s">
        <v>288</v>
      </c>
    </row>
    <row r="197" spans="1:7">
      <c r="A197" s="217" t="s">
        <v>291</v>
      </c>
    </row>
    <row r="198" spans="1:7">
      <c r="A198" s="217" t="s">
        <v>292</v>
      </c>
    </row>
    <row r="199" spans="1:7">
      <c r="A199" s="217" t="s">
        <v>293</v>
      </c>
    </row>
    <row r="200" spans="1:7">
      <c r="A200" s="217" t="s">
        <v>392</v>
      </c>
    </row>
    <row r="202" spans="1:7">
      <c r="A202" s="12" t="s">
        <v>51</v>
      </c>
      <c r="B202" s="29"/>
      <c r="C202" s="29"/>
      <c r="D202" s="29"/>
      <c r="E202" s="29"/>
      <c r="F202" s="29"/>
      <c r="G202" s="203"/>
    </row>
    <row r="203" spans="1:7">
      <c r="A203" s="12" t="s">
        <v>409</v>
      </c>
      <c r="B203" s="204"/>
      <c r="E203" s="204"/>
      <c r="G203" s="204"/>
    </row>
    <row r="204" spans="1:7">
      <c r="A204" s="12"/>
      <c r="B204" s="204"/>
      <c r="E204" s="204"/>
      <c r="G204" s="204"/>
    </row>
    <row r="205" spans="1:7">
      <c r="A205" s="691" t="s">
        <v>0</v>
      </c>
      <c r="B205" s="691" t="s">
        <v>233</v>
      </c>
      <c r="C205" s="691" t="s">
        <v>43</v>
      </c>
      <c r="D205" s="708"/>
      <c r="E205" s="708"/>
      <c r="F205" s="691" t="s">
        <v>21</v>
      </c>
      <c r="G205" s="691" t="s">
        <v>44</v>
      </c>
    </row>
    <row r="206" spans="1:7" ht="30">
      <c r="A206" s="707" t="s">
        <v>0</v>
      </c>
      <c r="B206" s="691"/>
      <c r="C206" s="27" t="s">
        <v>47</v>
      </c>
      <c r="D206" s="27" t="s">
        <v>48</v>
      </c>
      <c r="E206" s="27" t="s">
        <v>10</v>
      </c>
      <c r="F206" s="708"/>
      <c r="G206" s="708"/>
    </row>
    <row r="207" spans="1:7">
      <c r="A207" s="9" t="s">
        <v>4</v>
      </c>
      <c r="B207" s="129">
        <v>490.67139386795833</v>
      </c>
      <c r="C207" s="129">
        <v>116.85675803878162</v>
      </c>
      <c r="D207" s="129">
        <v>25.262154120369701</v>
      </c>
      <c r="E207" s="129">
        <v>142.11891215915131</v>
      </c>
      <c r="F207" s="129">
        <v>23.535668185542413</v>
      </c>
      <c r="G207" s="234">
        <v>656.32597421265234</v>
      </c>
    </row>
    <row r="208" spans="1:7">
      <c r="A208" s="9" t="s">
        <v>5</v>
      </c>
      <c r="B208" s="129"/>
      <c r="C208" s="129"/>
      <c r="D208" s="129"/>
      <c r="E208" s="129"/>
      <c r="F208" s="129"/>
      <c r="G208" s="234"/>
    </row>
    <row r="209" spans="1:7">
      <c r="A209" s="9" t="s">
        <v>194</v>
      </c>
      <c r="B209" s="129">
        <v>52.885179999999998</v>
      </c>
      <c r="C209" s="129"/>
      <c r="D209" s="129"/>
      <c r="E209" s="129"/>
      <c r="F209" s="129"/>
      <c r="G209" s="234"/>
    </row>
    <row r="210" spans="1:7">
      <c r="A210" s="9" t="s">
        <v>6</v>
      </c>
      <c r="B210" s="129">
        <v>30.780889999999999</v>
      </c>
      <c r="C210" s="129">
        <v>4.0318050000000003</v>
      </c>
      <c r="D210" s="129"/>
      <c r="E210" s="129">
        <v>4.0318050000000003</v>
      </c>
      <c r="F210" s="129"/>
      <c r="G210" s="234">
        <v>34.812694999999998</v>
      </c>
    </row>
    <row r="211" spans="1:7" ht="17.25">
      <c r="A211" s="9" t="s">
        <v>414</v>
      </c>
      <c r="B211" s="129">
        <v>277.77288804551375</v>
      </c>
      <c r="C211" s="129">
        <v>415.85829246305565</v>
      </c>
      <c r="D211" s="129">
        <v>40.989427918905712</v>
      </c>
      <c r="E211" s="129">
        <v>412.51753801905227</v>
      </c>
      <c r="F211" s="129">
        <v>289.4723772176763</v>
      </c>
      <c r="G211" s="234">
        <v>701.98991523672862</v>
      </c>
    </row>
    <row r="212" spans="1:7">
      <c r="A212" s="9" t="s">
        <v>369</v>
      </c>
      <c r="B212" s="129">
        <v>0.65</v>
      </c>
      <c r="C212" s="129">
        <v>8.9999999999999993E-3</v>
      </c>
      <c r="D212" s="129">
        <v>0.02</v>
      </c>
      <c r="E212" s="129">
        <v>2.9000000000000001E-2</v>
      </c>
      <c r="F212" s="129">
        <v>5.0000000000000001E-3</v>
      </c>
      <c r="G212" s="234">
        <f>B212+E212+F212</f>
        <v>0.68400000000000005</v>
      </c>
    </row>
    <row r="213" spans="1:7">
      <c r="A213" s="9" t="s">
        <v>8</v>
      </c>
      <c r="B213" s="129">
        <v>135.43895962493164</v>
      </c>
      <c r="C213" s="129"/>
      <c r="D213" s="129"/>
      <c r="E213" s="129">
        <v>49.092950093209879</v>
      </c>
      <c r="F213" s="129"/>
      <c r="G213" s="234">
        <f>+B213+E213</f>
        <v>184.53190971814152</v>
      </c>
    </row>
    <row r="214" spans="1:7">
      <c r="A214" s="9" t="s">
        <v>82</v>
      </c>
      <c r="B214" s="129">
        <v>15.95473893253299</v>
      </c>
      <c r="C214" s="129">
        <v>0</v>
      </c>
      <c r="D214" s="129">
        <v>0</v>
      </c>
      <c r="E214" s="129">
        <v>15.602498316015193</v>
      </c>
      <c r="F214" s="129">
        <v>9.2175402263116144</v>
      </c>
      <c r="G214" s="234">
        <v>40.774777474859796</v>
      </c>
    </row>
    <row r="215" spans="1:7">
      <c r="A215" s="9" t="s">
        <v>9</v>
      </c>
      <c r="B215" s="129">
        <v>29.79053204250064</v>
      </c>
      <c r="C215" s="129">
        <v>9.2376666007480797</v>
      </c>
      <c r="D215" s="129">
        <v>3.86335028137059</v>
      </c>
      <c r="E215" s="129">
        <v>42.891548924619315</v>
      </c>
      <c r="F215" s="129">
        <v>19.339916624526431</v>
      </c>
      <c r="G215" s="234">
        <v>62.231465549145746</v>
      </c>
    </row>
    <row r="216" spans="1:7">
      <c r="A216" s="29"/>
      <c r="B216" s="200"/>
      <c r="C216" s="200"/>
      <c r="D216" s="200"/>
      <c r="E216" s="200"/>
      <c r="F216" s="200"/>
      <c r="G216" s="200"/>
    </row>
    <row r="217" spans="1:7">
      <c r="A217" s="85" t="s">
        <v>10</v>
      </c>
      <c r="B217" s="202"/>
      <c r="C217" s="202"/>
      <c r="D217" s="202"/>
      <c r="E217" s="202"/>
      <c r="F217" s="202"/>
      <c r="G217" s="202"/>
    </row>
    <row r="218" spans="1:7">
      <c r="A218" s="132" t="s">
        <v>60</v>
      </c>
    </row>
    <row r="219" spans="1:7">
      <c r="A219" s="217" t="s">
        <v>288</v>
      </c>
    </row>
    <row r="220" spans="1:7">
      <c r="A220" s="217" t="s">
        <v>291</v>
      </c>
    </row>
    <row r="221" spans="1:7">
      <c r="A221" s="217" t="s">
        <v>292</v>
      </c>
    </row>
    <row r="222" spans="1:7">
      <c r="A222" s="217" t="s">
        <v>293</v>
      </c>
    </row>
    <row r="223" spans="1:7">
      <c r="A223" s="217" t="s">
        <v>392</v>
      </c>
    </row>
    <row r="225" spans="1:7">
      <c r="A225" s="12" t="s">
        <v>51</v>
      </c>
      <c r="B225" s="29"/>
      <c r="C225" s="29"/>
      <c r="D225" s="29"/>
      <c r="E225" s="29"/>
      <c r="F225" s="29"/>
      <c r="G225" s="203"/>
    </row>
    <row r="226" spans="1:7">
      <c r="A226" s="12" t="s">
        <v>446</v>
      </c>
      <c r="B226" s="204"/>
      <c r="E226" s="204"/>
      <c r="G226" s="204"/>
    </row>
    <row r="227" spans="1:7">
      <c r="A227" s="12"/>
      <c r="B227" s="204"/>
      <c r="E227" s="204"/>
      <c r="G227" s="204"/>
    </row>
    <row r="228" spans="1:7">
      <c r="A228" s="691" t="s">
        <v>0</v>
      </c>
      <c r="B228" s="691" t="s">
        <v>233</v>
      </c>
      <c r="C228" s="691" t="s">
        <v>43</v>
      </c>
      <c r="D228" s="708"/>
      <c r="E228" s="708"/>
      <c r="F228" s="691" t="s">
        <v>21</v>
      </c>
      <c r="G228" s="691" t="s">
        <v>44</v>
      </c>
    </row>
    <row r="229" spans="1:7" ht="30">
      <c r="A229" s="707" t="s">
        <v>0</v>
      </c>
      <c r="B229" s="691"/>
      <c r="C229" s="27" t="s">
        <v>47</v>
      </c>
      <c r="D229" s="27" t="s">
        <v>48</v>
      </c>
      <c r="E229" s="27" t="s">
        <v>10</v>
      </c>
      <c r="F229" s="708"/>
      <c r="G229" s="708"/>
    </row>
    <row r="230" spans="1:7">
      <c r="A230" s="9" t="s">
        <v>4</v>
      </c>
      <c r="B230" s="129">
        <v>414.44499073352853</v>
      </c>
      <c r="C230" s="129">
        <v>121.39759743224732</v>
      </c>
      <c r="D230" s="129">
        <v>27.129257876500763</v>
      </c>
      <c r="E230" s="129">
        <v>148.52685530874808</v>
      </c>
      <c r="F230" s="129">
        <v>27.320595740109049</v>
      </c>
      <c r="G230" s="234">
        <v>590.29244178238571</v>
      </c>
    </row>
    <row r="231" spans="1:7">
      <c r="A231" s="9" t="s">
        <v>5</v>
      </c>
      <c r="B231" s="129"/>
      <c r="C231" s="129"/>
      <c r="D231" s="129"/>
      <c r="E231" s="129"/>
      <c r="F231" s="129"/>
      <c r="G231" s="234"/>
    </row>
    <row r="232" spans="1:7">
      <c r="A232" s="9" t="s">
        <v>194</v>
      </c>
      <c r="B232" s="129">
        <v>60.663930000000001</v>
      </c>
      <c r="C232" s="129"/>
      <c r="D232" s="129"/>
      <c r="E232" s="129"/>
      <c r="F232" s="129"/>
      <c r="G232" s="234"/>
    </row>
    <row r="233" spans="1:7">
      <c r="A233" s="9" t="s">
        <v>6</v>
      </c>
      <c r="B233" s="129">
        <v>34.353248999999998</v>
      </c>
      <c r="C233" s="129">
        <v>3.916083</v>
      </c>
      <c r="D233" s="129"/>
      <c r="E233" s="129">
        <v>3.916083</v>
      </c>
      <c r="F233" s="129"/>
      <c r="G233" s="234">
        <v>38.269331999999999</v>
      </c>
    </row>
    <row r="234" spans="1:7" ht="17.25">
      <c r="A234" s="9" t="s">
        <v>459</v>
      </c>
      <c r="B234" s="129">
        <v>321.52978085845149</v>
      </c>
      <c r="C234" s="129">
        <v>364.88452745040871</v>
      </c>
      <c r="D234" s="129">
        <v>33.050920793354607</v>
      </c>
      <c r="E234" s="129">
        <v>462.4280275012988</v>
      </c>
      <c r="F234" s="129">
        <v>320.69919098132971</v>
      </c>
      <c r="G234" s="234">
        <v>783.12721848262856</v>
      </c>
    </row>
    <row r="235" spans="1:7">
      <c r="A235" s="9" t="s">
        <v>369</v>
      </c>
      <c r="B235" s="129">
        <v>0.95</v>
      </c>
      <c r="C235" s="129">
        <v>0.03</v>
      </c>
      <c r="D235" s="129">
        <v>1E-3</v>
      </c>
      <c r="E235" s="129">
        <v>3.1E-2</v>
      </c>
      <c r="F235" s="129">
        <v>6.0000000000000001E-3</v>
      </c>
      <c r="G235" s="234">
        <v>0.98699999999999999</v>
      </c>
    </row>
    <row r="236" spans="1:7">
      <c r="A236" s="9" t="s">
        <v>8</v>
      </c>
      <c r="B236" s="129">
        <v>135.11810798713799</v>
      </c>
      <c r="C236" s="129"/>
      <c r="D236" s="129"/>
      <c r="E236" s="129">
        <v>47.968933299680103</v>
      </c>
      <c r="F236" s="129"/>
      <c r="G236" s="234">
        <v>183.08704128681813</v>
      </c>
    </row>
    <row r="237" spans="1:7">
      <c r="A237" s="9" t="s">
        <v>82</v>
      </c>
      <c r="B237" s="129">
        <v>19.373710274044679</v>
      </c>
      <c r="C237" s="129">
        <v>0</v>
      </c>
      <c r="D237" s="129">
        <v>0</v>
      </c>
      <c r="E237" s="129">
        <v>18.276877709628451</v>
      </c>
      <c r="F237" s="129">
        <v>10.500788532650434</v>
      </c>
      <c r="G237" s="234">
        <v>48.151376516323559</v>
      </c>
    </row>
    <row r="238" spans="1:7">
      <c r="A238" s="9" t="s">
        <v>9</v>
      </c>
      <c r="B238" s="129">
        <v>21.990772375558407</v>
      </c>
      <c r="C238" s="129">
        <v>7.6329785997428754</v>
      </c>
      <c r="D238" s="129">
        <v>4.5237756338455135</v>
      </c>
      <c r="E238" s="129">
        <v>34.147526609146794</v>
      </c>
      <c r="F238" s="129">
        <v>14.966640052496251</v>
      </c>
      <c r="G238" s="234">
        <v>49.114166661643047</v>
      </c>
    </row>
    <row r="239" spans="1:7">
      <c r="A239" s="29"/>
      <c r="B239" s="200"/>
      <c r="C239" s="200"/>
      <c r="D239" s="200"/>
      <c r="E239" s="200"/>
      <c r="F239" s="200"/>
      <c r="G239" s="200"/>
    </row>
    <row r="240" spans="1:7">
      <c r="A240" s="85" t="s">
        <v>10</v>
      </c>
      <c r="B240" s="202"/>
      <c r="C240" s="202"/>
      <c r="D240" s="202"/>
      <c r="E240" s="202"/>
      <c r="F240" s="202"/>
      <c r="G240" s="202"/>
    </row>
    <row r="241" spans="1:7">
      <c r="A241" s="132" t="s">
        <v>60</v>
      </c>
    </row>
    <row r="242" spans="1:7">
      <c r="A242" s="217" t="s">
        <v>288</v>
      </c>
    </row>
    <row r="243" spans="1:7">
      <c r="A243" s="217" t="s">
        <v>291</v>
      </c>
    </row>
    <row r="244" spans="1:7">
      <c r="A244" s="217" t="s">
        <v>292</v>
      </c>
    </row>
    <row r="245" spans="1:7">
      <c r="A245" s="217" t="s">
        <v>293</v>
      </c>
    </row>
    <row r="246" spans="1:7">
      <c r="A246" s="217" t="s">
        <v>392</v>
      </c>
    </row>
    <row r="248" spans="1:7">
      <c r="A248" s="12" t="s">
        <v>51</v>
      </c>
      <c r="B248" s="29"/>
      <c r="C248" s="29"/>
      <c r="D248" s="29"/>
      <c r="E248" s="29"/>
      <c r="F248" s="29"/>
      <c r="G248" s="203"/>
    </row>
    <row r="249" spans="1:7">
      <c r="A249" s="12" t="s">
        <v>470</v>
      </c>
      <c r="B249" s="204"/>
      <c r="E249" s="204"/>
      <c r="G249" s="204"/>
    </row>
    <row r="250" spans="1:7">
      <c r="A250" s="12"/>
      <c r="B250" s="204"/>
      <c r="E250" s="204"/>
      <c r="G250" s="204"/>
    </row>
    <row r="251" spans="1:7">
      <c r="A251" s="691" t="s">
        <v>0</v>
      </c>
      <c r="B251" s="691" t="s">
        <v>233</v>
      </c>
      <c r="C251" s="691" t="s">
        <v>43</v>
      </c>
      <c r="D251" s="708"/>
      <c r="E251" s="708"/>
      <c r="F251" s="691" t="s">
        <v>21</v>
      </c>
      <c r="G251" s="691" t="s">
        <v>44</v>
      </c>
    </row>
    <row r="252" spans="1:7" ht="30">
      <c r="A252" s="707" t="s">
        <v>0</v>
      </c>
      <c r="B252" s="691"/>
      <c r="C252" s="27" t="s">
        <v>47</v>
      </c>
      <c r="D252" s="27" t="s">
        <v>48</v>
      </c>
      <c r="E252" s="27" t="s">
        <v>10</v>
      </c>
      <c r="F252" s="708"/>
      <c r="G252" s="708"/>
    </row>
    <row r="253" spans="1:7">
      <c r="A253" s="9" t="s">
        <v>4</v>
      </c>
      <c r="B253" s="129">
        <v>532.21573730386365</v>
      </c>
      <c r="C253" s="129">
        <v>124.87509279568079</v>
      </c>
      <c r="D253" s="129">
        <v>24.167109555143131</v>
      </c>
      <c r="E253" s="129">
        <v>149.04220235082394</v>
      </c>
      <c r="F253" s="129">
        <v>31.543249817220627</v>
      </c>
      <c r="G253" s="234">
        <v>712.80118947190829</v>
      </c>
    </row>
    <row r="254" spans="1:7">
      <c r="A254" s="9" t="s">
        <v>5</v>
      </c>
      <c r="B254" s="129"/>
      <c r="C254" s="129"/>
      <c r="D254" s="129"/>
      <c r="E254" s="129"/>
      <c r="F254" s="129"/>
      <c r="G254" s="234"/>
    </row>
    <row r="255" spans="1:7">
      <c r="A255" s="9" t="s">
        <v>194</v>
      </c>
      <c r="B255" s="129">
        <v>56.5</v>
      </c>
      <c r="C255" s="129"/>
      <c r="D255" s="129"/>
      <c r="E255" s="129"/>
      <c r="F255" s="129"/>
      <c r="G255" s="234"/>
    </row>
    <row r="256" spans="1:7">
      <c r="A256" s="9" t="s">
        <v>6</v>
      </c>
      <c r="B256" s="129">
        <v>35.342315999999997</v>
      </c>
      <c r="C256" s="129">
        <v>3.6880009999999999</v>
      </c>
      <c r="D256" s="129"/>
      <c r="E256" s="129">
        <v>3.6880009999999999</v>
      </c>
      <c r="F256" s="129"/>
      <c r="G256" s="234">
        <v>39.030316999999997</v>
      </c>
    </row>
    <row r="257" spans="1:7" ht="17.25">
      <c r="A257" s="9" t="s">
        <v>459</v>
      </c>
      <c r="B257" s="129">
        <v>299.40197096847106</v>
      </c>
      <c r="C257" s="129">
        <v>351.88036901404917</v>
      </c>
      <c r="D257" s="129">
        <v>30.907975090287156</v>
      </c>
      <c r="E257" s="129">
        <v>440.91666789594495</v>
      </c>
      <c r="F257" s="129">
        <v>319.87623428450883</v>
      </c>
      <c r="G257" s="234">
        <v>760.79290218045378</v>
      </c>
    </row>
    <row r="258" spans="1:7">
      <c r="A258" s="9" t="s">
        <v>369</v>
      </c>
      <c r="B258" s="129">
        <v>0.82</v>
      </c>
      <c r="C258" s="129">
        <v>8.0000000000000002E-3</v>
      </c>
      <c r="D258" s="129">
        <v>0.01</v>
      </c>
      <c r="E258" s="129">
        <v>1.8000000000000002E-2</v>
      </c>
      <c r="F258" s="129">
        <v>6.0000000000000001E-3</v>
      </c>
      <c r="G258" s="234">
        <v>0.84399999999999997</v>
      </c>
    </row>
    <row r="259" spans="1:7">
      <c r="A259" s="9" t="s">
        <v>8</v>
      </c>
      <c r="B259" s="129">
        <v>131.12136926899143</v>
      </c>
      <c r="C259" s="129"/>
      <c r="D259" s="129"/>
      <c r="E259" s="129">
        <v>41.893141027472652</v>
      </c>
      <c r="F259" s="129"/>
      <c r="G259" s="234">
        <v>173.01451029646407</v>
      </c>
    </row>
    <row r="260" spans="1:7">
      <c r="A260" s="9" t="s">
        <v>82</v>
      </c>
      <c r="B260" s="129">
        <v>9.8188730143592462</v>
      </c>
      <c r="C260" s="129">
        <v>0</v>
      </c>
      <c r="D260" s="129">
        <v>0</v>
      </c>
      <c r="E260" s="129">
        <v>14.49768160842808</v>
      </c>
      <c r="F260" s="129">
        <v>0</v>
      </c>
      <c r="G260" s="234">
        <v>42.179248676239496</v>
      </c>
    </row>
    <row r="261" spans="1:7">
      <c r="A261" s="9" t="s">
        <v>9</v>
      </c>
      <c r="B261" s="129">
        <v>28.299133358684969</v>
      </c>
      <c r="C261" s="129">
        <v>6.9195204534718942</v>
      </c>
      <c r="D261" s="129">
        <v>2.7664850636107285</v>
      </c>
      <c r="E261" s="129">
        <v>37.985138875767596</v>
      </c>
      <c r="F261" s="129">
        <v>10.45470854983467</v>
      </c>
      <c r="G261" s="234">
        <v>48.439847425602267</v>
      </c>
    </row>
    <row r="262" spans="1:7">
      <c r="A262" s="29"/>
      <c r="B262" s="200"/>
      <c r="C262" s="200"/>
      <c r="D262" s="200"/>
      <c r="E262" s="200"/>
      <c r="F262" s="200"/>
      <c r="G262" s="200"/>
    </row>
    <row r="263" spans="1:7">
      <c r="A263" s="85" t="s">
        <v>10</v>
      </c>
      <c r="B263" s="202"/>
      <c r="C263" s="202"/>
      <c r="D263" s="202"/>
      <c r="E263" s="202"/>
      <c r="F263" s="202"/>
      <c r="G263" s="202"/>
    </row>
    <row r="264" spans="1:7">
      <c r="A264" s="132" t="s">
        <v>60</v>
      </c>
    </row>
    <row r="265" spans="1:7">
      <c r="A265" s="217" t="s">
        <v>288</v>
      </c>
    </row>
    <row r="266" spans="1:7">
      <c r="A266" s="217" t="s">
        <v>291</v>
      </c>
    </row>
    <row r="267" spans="1:7">
      <c r="A267" s="217" t="s">
        <v>292</v>
      </c>
    </row>
    <row r="268" spans="1:7">
      <c r="A268" s="217" t="s">
        <v>293</v>
      </c>
    </row>
    <row r="269" spans="1:7">
      <c r="A269" s="217" t="s">
        <v>392</v>
      </c>
    </row>
    <row r="271" spans="1:7">
      <c r="A271" s="12" t="s">
        <v>51</v>
      </c>
      <c r="B271" s="29"/>
      <c r="C271" s="29"/>
      <c r="D271" s="29"/>
      <c r="E271" s="29"/>
      <c r="F271" s="29"/>
      <c r="G271" s="203"/>
    </row>
    <row r="272" spans="1:7">
      <c r="A272" s="12" t="s">
        <v>483</v>
      </c>
      <c r="B272" s="204"/>
      <c r="E272" s="204"/>
      <c r="G272" s="204"/>
    </row>
    <row r="273" spans="1:7">
      <c r="A273" s="12"/>
      <c r="B273" s="204"/>
      <c r="E273" s="204"/>
      <c r="G273" s="204"/>
    </row>
    <row r="274" spans="1:7">
      <c r="A274" s="691" t="s">
        <v>0</v>
      </c>
      <c r="B274" s="691" t="s">
        <v>233</v>
      </c>
      <c r="C274" s="691" t="s">
        <v>43</v>
      </c>
      <c r="D274" s="708"/>
      <c r="E274" s="708"/>
      <c r="F274" s="691" t="s">
        <v>21</v>
      </c>
      <c r="G274" s="691" t="s">
        <v>44</v>
      </c>
    </row>
    <row r="275" spans="1:7" ht="30">
      <c r="A275" s="707" t="s">
        <v>0</v>
      </c>
      <c r="B275" s="691"/>
      <c r="C275" s="27" t="s">
        <v>47</v>
      </c>
      <c r="D275" s="27" t="s">
        <v>48</v>
      </c>
      <c r="E275" s="27" t="s">
        <v>10</v>
      </c>
      <c r="F275" s="708"/>
      <c r="G275" s="708"/>
    </row>
    <row r="276" spans="1:7">
      <c r="A276" s="9" t="s">
        <v>4</v>
      </c>
      <c r="B276" s="129">
        <v>405.25837341958248</v>
      </c>
      <c r="C276" s="129">
        <v>76.987277859453087</v>
      </c>
      <c r="D276" s="129">
        <v>20.756943251984712</v>
      </c>
      <c r="E276" s="129">
        <v>97.74422111143781</v>
      </c>
      <c r="F276" s="129">
        <v>27.821009114966184</v>
      </c>
      <c r="G276" s="234">
        <v>530.82360364598651</v>
      </c>
    </row>
    <row r="277" spans="1:7">
      <c r="A277" s="9" t="s">
        <v>5</v>
      </c>
      <c r="B277" s="129">
        <v>156.69577418641802</v>
      </c>
      <c r="C277" s="129">
        <v>58.203116936269836</v>
      </c>
      <c r="D277" s="129">
        <v>6.4303190977001679</v>
      </c>
      <c r="E277" s="129">
        <v>64.63343603397</v>
      </c>
      <c r="F277" s="129">
        <v>297.91681431366726</v>
      </c>
      <c r="G277" s="234">
        <v>519.24602453405532</v>
      </c>
    </row>
    <row r="278" spans="1:7">
      <c r="A278" s="9" t="s">
        <v>194</v>
      </c>
      <c r="B278" s="129">
        <v>59.18</v>
      </c>
      <c r="C278" s="129"/>
      <c r="D278" s="129"/>
      <c r="E278" s="129"/>
      <c r="F278" s="129"/>
      <c r="G278" s="234"/>
    </row>
    <row r="279" spans="1:7">
      <c r="A279" s="9" t="s">
        <v>6</v>
      </c>
      <c r="B279" s="129">
        <v>35.79</v>
      </c>
      <c r="C279" s="129">
        <v>2.04</v>
      </c>
      <c r="D279" s="129">
        <v>3.6</v>
      </c>
      <c r="E279" s="129">
        <v>5.65</v>
      </c>
      <c r="F279" s="129">
        <v>0.37</v>
      </c>
      <c r="G279" s="234">
        <v>35.79</v>
      </c>
    </row>
    <row r="280" spans="1:7" ht="17.25">
      <c r="A280" s="9" t="s">
        <v>459</v>
      </c>
      <c r="B280" s="129">
        <v>281.46929894416439</v>
      </c>
      <c r="C280" s="129">
        <v>373.53631920585127</v>
      </c>
      <c r="D280" s="129">
        <v>33.624510388328652</v>
      </c>
      <c r="E280" s="129">
        <v>457.36813121042456</v>
      </c>
      <c r="F280" s="129">
        <v>369.59033123485381</v>
      </c>
      <c r="G280" s="234">
        <v>826.95846244527843</v>
      </c>
    </row>
    <row r="281" spans="1:7">
      <c r="A281" s="9" t="s">
        <v>369</v>
      </c>
      <c r="B281" s="129">
        <v>0.8</v>
      </c>
      <c r="C281" s="129">
        <v>0.01</v>
      </c>
      <c r="D281" s="129">
        <v>0</v>
      </c>
      <c r="E281" s="129">
        <v>0</v>
      </c>
      <c r="F281" s="129">
        <v>0.01</v>
      </c>
      <c r="G281" s="234">
        <v>0.82</v>
      </c>
    </row>
    <row r="282" spans="1:7">
      <c r="A282" s="9" t="s">
        <v>8</v>
      </c>
      <c r="B282" s="129">
        <v>115.42958014392428</v>
      </c>
      <c r="C282" s="129" t="s">
        <v>149</v>
      </c>
      <c r="D282" s="129" t="s">
        <v>149</v>
      </c>
      <c r="E282" s="129">
        <v>37.839152079838136</v>
      </c>
      <c r="F282" s="129" t="s">
        <v>149</v>
      </c>
      <c r="G282" s="234">
        <v>153.26873222376241</v>
      </c>
    </row>
    <row r="283" spans="1:7">
      <c r="A283" s="9" t="s">
        <v>82</v>
      </c>
      <c r="B283" s="129">
        <v>6.2953158233962299</v>
      </c>
      <c r="C283" s="129">
        <v>0</v>
      </c>
      <c r="D283" s="129">
        <v>0</v>
      </c>
      <c r="E283" s="129">
        <v>3.5517427747321544</v>
      </c>
      <c r="F283" s="129">
        <v>1.3394403351103394</v>
      </c>
      <c r="G283" s="234">
        <v>11.186498933238724</v>
      </c>
    </row>
    <row r="284" spans="1:7">
      <c r="A284" s="9" t="s">
        <v>9</v>
      </c>
      <c r="B284" s="129">
        <v>20.664996823820275</v>
      </c>
      <c r="C284" s="129">
        <v>6.407262328661016</v>
      </c>
      <c r="D284" s="129">
        <v>3.0114905046972971</v>
      </c>
      <c r="E284" s="129">
        <v>30.083749657178586</v>
      </c>
      <c r="F284" s="129">
        <v>10.517522872929444</v>
      </c>
      <c r="G284" s="234">
        <v>40.601272530108034</v>
      </c>
    </row>
    <row r="285" spans="1:7">
      <c r="A285" s="29"/>
      <c r="B285" s="200"/>
      <c r="C285" s="200"/>
      <c r="D285" s="200"/>
      <c r="E285" s="200"/>
      <c r="F285" s="200"/>
      <c r="G285" s="200"/>
    </row>
    <row r="286" spans="1:7">
      <c r="A286" s="85" t="s">
        <v>10</v>
      </c>
      <c r="B286" s="202"/>
      <c r="C286" s="202"/>
      <c r="D286" s="202"/>
      <c r="E286" s="202"/>
      <c r="F286" s="202"/>
      <c r="G286" s="202"/>
    </row>
    <row r="287" spans="1:7">
      <c r="A287" s="132" t="s">
        <v>60</v>
      </c>
    </row>
    <row r="288" spans="1:7">
      <c r="A288" s="217" t="s">
        <v>288</v>
      </c>
    </row>
    <row r="289" spans="1:7">
      <c r="A289" s="217" t="s">
        <v>291</v>
      </c>
    </row>
    <row r="290" spans="1:7">
      <c r="A290" s="217" t="s">
        <v>292</v>
      </c>
    </row>
    <row r="291" spans="1:7">
      <c r="A291" s="217" t="s">
        <v>293</v>
      </c>
    </row>
    <row r="292" spans="1:7">
      <c r="A292" s="217" t="s">
        <v>392</v>
      </c>
    </row>
    <row r="294" spans="1:7">
      <c r="A294" s="12" t="s">
        <v>51</v>
      </c>
      <c r="B294" s="29"/>
      <c r="C294" s="29"/>
      <c r="D294" s="29"/>
      <c r="E294" s="29"/>
      <c r="F294" s="29"/>
      <c r="G294" s="203"/>
    </row>
    <row r="295" spans="1:7">
      <c r="A295" s="12" t="s">
        <v>494</v>
      </c>
      <c r="B295" s="204"/>
      <c r="E295" s="204"/>
      <c r="G295" s="204"/>
    </row>
    <row r="296" spans="1:7">
      <c r="A296" s="12"/>
      <c r="B296" s="204"/>
      <c r="E296" s="204"/>
      <c r="G296" s="204"/>
    </row>
    <row r="297" spans="1:7">
      <c r="A297" s="691" t="s">
        <v>0</v>
      </c>
      <c r="B297" s="691" t="s">
        <v>233</v>
      </c>
      <c r="C297" s="691" t="s">
        <v>43</v>
      </c>
      <c r="D297" s="708"/>
      <c r="E297" s="708"/>
      <c r="F297" s="691" t="s">
        <v>21</v>
      </c>
      <c r="G297" s="691" t="s">
        <v>44</v>
      </c>
    </row>
    <row r="298" spans="1:7" ht="30">
      <c r="A298" s="707" t="s">
        <v>0</v>
      </c>
      <c r="B298" s="691"/>
      <c r="C298" s="27" t="s">
        <v>47</v>
      </c>
      <c r="D298" s="27" t="s">
        <v>48</v>
      </c>
      <c r="E298" s="27" t="s">
        <v>10</v>
      </c>
      <c r="F298" s="708"/>
      <c r="G298" s="708"/>
    </row>
    <row r="299" spans="1:7">
      <c r="A299" s="9" t="s">
        <v>4</v>
      </c>
      <c r="B299" s="129">
        <v>444.46572814743291</v>
      </c>
      <c r="C299" s="129">
        <v>73.94103849867949</v>
      </c>
      <c r="D299" s="129">
        <v>24.050035485334668</v>
      </c>
      <c r="E299" s="129">
        <v>97.99107398401415</v>
      </c>
      <c r="F299" s="129">
        <v>29.935201451990086</v>
      </c>
      <c r="G299" s="234">
        <v>572.39200358343714</v>
      </c>
    </row>
    <row r="300" spans="1:7">
      <c r="A300" s="9" t="s">
        <v>5</v>
      </c>
      <c r="B300" s="129">
        <v>130.43120322109891</v>
      </c>
      <c r="C300" s="129">
        <v>48.505539018188429</v>
      </c>
      <c r="D300" s="129">
        <v>4.8969320941686414</v>
      </c>
      <c r="E300" s="129">
        <v>53.40247111235707</v>
      </c>
      <c r="F300" s="129">
        <v>382.56702641247966</v>
      </c>
      <c r="G300" s="234">
        <v>566.40070074593564</v>
      </c>
    </row>
    <row r="301" spans="1:7">
      <c r="A301" s="9" t="s">
        <v>194</v>
      </c>
      <c r="B301" s="129">
        <v>69.323350000000005</v>
      </c>
      <c r="C301" s="129">
        <v>0</v>
      </c>
      <c r="D301" s="129">
        <v>0</v>
      </c>
      <c r="E301" s="129">
        <v>0</v>
      </c>
      <c r="F301" s="129">
        <v>0</v>
      </c>
      <c r="G301" s="234">
        <v>69.323350000000005</v>
      </c>
    </row>
    <row r="302" spans="1:7">
      <c r="A302" s="9" t="s">
        <v>6</v>
      </c>
      <c r="B302" s="129"/>
      <c r="C302" s="129"/>
      <c r="D302" s="129"/>
      <c r="E302" s="129"/>
      <c r="F302" s="129"/>
      <c r="G302" s="234"/>
    </row>
    <row r="303" spans="1:7" ht="17.25">
      <c r="A303" s="9" t="s">
        <v>459</v>
      </c>
      <c r="B303" s="129">
        <v>282.31554118275432</v>
      </c>
      <c r="C303" s="129">
        <v>274.61050541047172</v>
      </c>
      <c r="D303" s="129">
        <v>28.402415164727934</v>
      </c>
      <c r="E303" s="129">
        <v>346.69715720463245</v>
      </c>
      <c r="F303" s="129">
        <v>428.04374114834508</v>
      </c>
      <c r="G303" s="234">
        <v>774.74089835297752</v>
      </c>
    </row>
    <row r="304" spans="1:7">
      <c r="A304" s="9" t="s">
        <v>369</v>
      </c>
      <c r="B304" s="129">
        <v>0.93</v>
      </c>
      <c r="C304" s="129">
        <v>0.01</v>
      </c>
      <c r="D304" s="129">
        <v>0.04</v>
      </c>
      <c r="E304" s="129">
        <v>0.05</v>
      </c>
      <c r="F304" s="129">
        <v>0</v>
      </c>
      <c r="G304" s="234">
        <v>0.98</v>
      </c>
    </row>
    <row r="305" spans="1:7">
      <c r="A305" s="9" t="s">
        <v>8</v>
      </c>
      <c r="B305" s="129">
        <v>117.99300469449486</v>
      </c>
      <c r="C305" s="129" t="s">
        <v>149</v>
      </c>
      <c r="D305" s="129" t="s">
        <v>149</v>
      </c>
      <c r="E305" s="129">
        <v>36.496095322390211</v>
      </c>
      <c r="F305" s="129" t="s">
        <v>149</v>
      </c>
      <c r="G305" s="234">
        <v>154.48910001688509</v>
      </c>
    </row>
    <row r="306" spans="1:7">
      <c r="A306" s="9" t="s">
        <v>82</v>
      </c>
      <c r="B306" s="129">
        <v>25.215276855986552</v>
      </c>
      <c r="C306" s="129" t="s">
        <v>149</v>
      </c>
      <c r="D306" s="129" t="s">
        <v>149</v>
      </c>
      <c r="E306" s="129" t="s">
        <v>149</v>
      </c>
      <c r="F306" s="129" t="s">
        <v>149</v>
      </c>
      <c r="G306" s="234" t="s">
        <v>149</v>
      </c>
    </row>
    <row r="307" spans="1:7">
      <c r="A307" s="9" t="s">
        <v>9</v>
      </c>
      <c r="B307" s="129">
        <v>19.630640169048089</v>
      </c>
      <c r="C307" s="129">
        <v>8.2606779031223265</v>
      </c>
      <c r="D307" s="129">
        <v>3.3234516861643746</v>
      </c>
      <c r="E307" s="129">
        <v>31.214769758334789</v>
      </c>
      <c r="F307" s="129">
        <v>10.66691108853721</v>
      </c>
      <c r="G307" s="234">
        <v>50.494878288066722</v>
      </c>
    </row>
    <row r="308" spans="1:7">
      <c r="A308" s="29"/>
      <c r="B308" s="200"/>
      <c r="C308" s="200"/>
      <c r="D308" s="200"/>
      <c r="E308" s="200"/>
      <c r="F308" s="200"/>
      <c r="G308" s="200"/>
    </row>
    <row r="309" spans="1:7">
      <c r="A309" s="85" t="s">
        <v>10</v>
      </c>
      <c r="B309" s="202"/>
      <c r="C309" s="202"/>
      <c r="D309" s="202"/>
      <c r="E309" s="202"/>
      <c r="F309" s="202"/>
      <c r="G309" s="202"/>
    </row>
    <row r="310" spans="1:7">
      <c r="A310" s="132" t="s">
        <v>60</v>
      </c>
    </row>
    <row r="311" spans="1:7">
      <c r="A311" s="217" t="s">
        <v>288</v>
      </c>
    </row>
    <row r="312" spans="1:7">
      <c r="A312" s="217" t="s">
        <v>291</v>
      </c>
    </row>
    <row r="313" spans="1:7">
      <c r="A313" s="217" t="s">
        <v>292</v>
      </c>
    </row>
    <row r="314" spans="1:7">
      <c r="A314" s="217" t="s">
        <v>293</v>
      </c>
    </row>
    <row r="315" spans="1:7">
      <c r="A315" s="217" t="s">
        <v>392</v>
      </c>
    </row>
    <row r="317" spans="1:7">
      <c r="A317" s="12" t="s">
        <v>51</v>
      </c>
      <c r="B317" s="29"/>
      <c r="C317" s="29"/>
      <c r="D317" s="29"/>
      <c r="E317" s="29"/>
      <c r="F317" s="29"/>
      <c r="G317" s="203"/>
    </row>
    <row r="318" spans="1:7">
      <c r="A318" s="12" t="s">
        <v>506</v>
      </c>
      <c r="B318" s="204"/>
      <c r="E318" s="204"/>
      <c r="G318" s="204"/>
    </row>
    <row r="319" spans="1:7">
      <c r="A319" s="12"/>
      <c r="B319" s="204"/>
      <c r="E319" s="204"/>
      <c r="G319" s="204"/>
    </row>
    <row r="320" spans="1:7">
      <c r="A320" s="691" t="s">
        <v>0</v>
      </c>
      <c r="B320" s="691" t="s">
        <v>233</v>
      </c>
      <c r="C320" s="691" t="s">
        <v>43</v>
      </c>
      <c r="D320" s="708"/>
      <c r="E320" s="708"/>
      <c r="F320" s="691" t="s">
        <v>21</v>
      </c>
      <c r="G320" s="691" t="s">
        <v>44</v>
      </c>
    </row>
    <row r="321" spans="1:8" ht="30">
      <c r="A321" s="707" t="s">
        <v>0</v>
      </c>
      <c r="B321" s="691"/>
      <c r="C321" s="27" t="s">
        <v>47</v>
      </c>
      <c r="D321" s="27" t="s">
        <v>48</v>
      </c>
      <c r="E321" s="27" t="s">
        <v>10</v>
      </c>
      <c r="F321" s="708"/>
      <c r="G321" s="708"/>
    </row>
    <row r="322" spans="1:8">
      <c r="A322" s="9" t="s">
        <v>4</v>
      </c>
      <c r="B322" s="129">
        <v>557.49259125960907</v>
      </c>
      <c r="C322" s="129">
        <v>88.862727573639134</v>
      </c>
      <c r="D322" s="129">
        <v>18.386384016428945</v>
      </c>
      <c r="E322" s="129">
        <v>107.24911159006808</v>
      </c>
      <c r="F322" s="129">
        <v>30.699515254880289</v>
      </c>
      <c r="G322" s="234">
        <v>695.44121810455749</v>
      </c>
    </row>
    <row r="323" spans="1:8">
      <c r="A323" s="9" t="s">
        <v>5</v>
      </c>
      <c r="B323" s="129">
        <v>186.02854000514384</v>
      </c>
      <c r="C323" s="129">
        <v>51.975672322020905</v>
      </c>
      <c r="D323" s="129">
        <v>5.8283383398751978</v>
      </c>
      <c r="E323" s="129">
        <v>57.8040106618961</v>
      </c>
      <c r="F323" s="129">
        <v>282.03996445461468</v>
      </c>
      <c r="G323" s="234">
        <v>525.8725151216546</v>
      </c>
    </row>
    <row r="324" spans="1:8">
      <c r="A324" s="9" t="s">
        <v>194</v>
      </c>
      <c r="B324" s="129">
        <v>82.781191000000007</v>
      </c>
      <c r="C324" s="129">
        <v>0</v>
      </c>
      <c r="D324" s="129">
        <v>0</v>
      </c>
      <c r="E324" s="129">
        <v>0</v>
      </c>
      <c r="F324" s="129">
        <v>0</v>
      </c>
      <c r="G324" s="234">
        <v>82.781191000000007</v>
      </c>
    </row>
    <row r="325" spans="1:8">
      <c r="A325" s="9" t="s">
        <v>6</v>
      </c>
      <c r="B325" s="129"/>
      <c r="C325" s="129"/>
      <c r="D325" s="129"/>
      <c r="E325" s="129"/>
      <c r="F325" s="129"/>
      <c r="G325" s="234"/>
    </row>
    <row r="326" spans="1:8" ht="17.25">
      <c r="A326" s="9" t="s">
        <v>459</v>
      </c>
      <c r="B326" s="129">
        <v>353.8570895856729</v>
      </c>
      <c r="C326" s="129">
        <v>251.31167419291921</v>
      </c>
      <c r="D326" s="129">
        <v>39.641325353744307</v>
      </c>
      <c r="E326" s="129">
        <v>343.52575265263903</v>
      </c>
      <c r="F326" s="129">
        <v>526.70853200248246</v>
      </c>
      <c r="G326" s="234">
        <v>870.23428465512143</v>
      </c>
    </row>
    <row r="327" spans="1:8">
      <c r="A327" s="9" t="s">
        <v>369</v>
      </c>
      <c r="B327" s="129">
        <v>1.45</v>
      </c>
      <c r="C327" s="129">
        <v>0.01</v>
      </c>
      <c r="D327" s="129">
        <v>0.1</v>
      </c>
      <c r="E327" s="129">
        <f>SUM(C327:D327)</f>
        <v>0.11</v>
      </c>
      <c r="F327" s="129">
        <v>0.15</v>
      </c>
      <c r="G327" s="234">
        <f>B327+E327+F327</f>
        <v>1.71</v>
      </c>
      <c r="H327" s="129"/>
    </row>
    <row r="328" spans="1:8">
      <c r="A328" s="9" t="s">
        <v>8</v>
      </c>
      <c r="B328" s="129">
        <v>118.39264659616863</v>
      </c>
      <c r="C328" s="129" t="s">
        <v>149</v>
      </c>
      <c r="D328" s="129" t="s">
        <v>149</v>
      </c>
      <c r="E328" s="129">
        <v>37.220938155760251</v>
      </c>
      <c r="F328" s="129" t="s">
        <v>149</v>
      </c>
      <c r="G328" s="234">
        <v>155.61358475192887</v>
      </c>
    </row>
    <row r="329" spans="1:8">
      <c r="A329" s="9" t="s">
        <v>82</v>
      </c>
      <c r="B329" s="129">
        <v>29.342152622408083</v>
      </c>
      <c r="C329" s="129" t="s">
        <v>149</v>
      </c>
      <c r="D329" s="129" t="s">
        <v>149</v>
      </c>
      <c r="E329" s="129" t="s">
        <v>149</v>
      </c>
      <c r="F329" s="129">
        <v>4.0127836034152287</v>
      </c>
      <c r="G329" s="234">
        <f>+F329+B329</f>
        <v>33.354936225823309</v>
      </c>
    </row>
    <row r="330" spans="1:8">
      <c r="A330" s="9" t="s">
        <v>9</v>
      </c>
      <c r="B330" s="129">
        <v>26.921949259439465</v>
      </c>
      <c r="C330" s="129">
        <v>8.8833879093844494</v>
      </c>
      <c r="D330" s="129">
        <v>3.5402332529894247</v>
      </c>
      <c r="E330" s="129">
        <v>39.345570421813335</v>
      </c>
      <c r="F330" s="129">
        <v>23.537368356311823</v>
      </c>
      <c r="G330" s="234">
        <v>62.882938778125158</v>
      </c>
    </row>
    <row r="331" spans="1:8">
      <c r="A331" s="29"/>
      <c r="C331" s="200"/>
      <c r="D331" s="200"/>
      <c r="E331" s="200"/>
      <c r="F331" s="200"/>
      <c r="G331" s="200"/>
    </row>
    <row r="332" spans="1:8">
      <c r="A332" s="85" t="s">
        <v>10</v>
      </c>
      <c r="B332" s="202"/>
      <c r="C332" s="202"/>
      <c r="D332" s="202"/>
      <c r="E332" s="202"/>
      <c r="F332" s="202"/>
      <c r="G332" s="202"/>
    </row>
    <row r="333" spans="1:8">
      <c r="A333" s="132" t="s">
        <v>60</v>
      </c>
    </row>
    <row r="334" spans="1:8">
      <c r="A334" s="217" t="s">
        <v>288</v>
      </c>
    </row>
    <row r="335" spans="1:8">
      <c r="A335" s="217" t="s">
        <v>291</v>
      </c>
    </row>
    <row r="336" spans="1:8">
      <c r="A336" s="217" t="s">
        <v>292</v>
      </c>
    </row>
    <row r="337" spans="1:8">
      <c r="A337" s="217" t="s">
        <v>293</v>
      </c>
    </row>
    <row r="338" spans="1:8">
      <c r="A338" s="217" t="s">
        <v>392</v>
      </c>
    </row>
    <row r="340" spans="1:8">
      <c r="A340" s="12" t="s">
        <v>51</v>
      </c>
      <c r="B340" s="29"/>
      <c r="C340" s="29"/>
      <c r="D340" s="29"/>
      <c r="E340" s="29"/>
      <c r="F340" s="29"/>
      <c r="G340" s="203"/>
    </row>
    <row r="341" spans="1:8">
      <c r="A341" s="12" t="s">
        <v>525</v>
      </c>
      <c r="B341" s="204"/>
      <c r="E341" s="204"/>
      <c r="G341" s="204"/>
    </row>
    <row r="342" spans="1:8">
      <c r="A342" s="12"/>
      <c r="B342" s="204"/>
      <c r="E342" s="204"/>
      <c r="G342" s="204"/>
    </row>
    <row r="343" spans="1:8">
      <c r="A343" s="691" t="s">
        <v>0</v>
      </c>
      <c r="B343" s="691" t="s">
        <v>233</v>
      </c>
      <c r="C343" s="691" t="s">
        <v>43</v>
      </c>
      <c r="D343" s="708"/>
      <c r="E343" s="708"/>
      <c r="F343" s="691" t="s">
        <v>21</v>
      </c>
      <c r="G343" s="691" t="s">
        <v>44</v>
      </c>
    </row>
    <row r="344" spans="1:8" ht="30">
      <c r="A344" s="707" t="s">
        <v>0</v>
      </c>
      <c r="B344" s="691"/>
      <c r="C344" s="27" t="s">
        <v>47</v>
      </c>
      <c r="D344" s="27" t="s">
        <v>48</v>
      </c>
      <c r="E344" s="27" t="s">
        <v>10</v>
      </c>
      <c r="F344" s="708"/>
      <c r="G344" s="708"/>
    </row>
    <row r="345" spans="1:8">
      <c r="A345" s="9" t="s">
        <v>4</v>
      </c>
      <c r="B345" s="129">
        <v>510.14503991452642</v>
      </c>
      <c r="C345" s="129">
        <v>92.482656331895328</v>
      </c>
      <c r="D345" s="129">
        <v>17.574566584687332</v>
      </c>
      <c r="E345" s="129">
        <v>110.05722291658267</v>
      </c>
      <c r="F345" s="129">
        <v>31.394157964762325</v>
      </c>
      <c r="G345" s="234">
        <v>651.5964207958715</v>
      </c>
    </row>
    <row r="346" spans="1:8">
      <c r="A346" s="9" t="s">
        <v>5</v>
      </c>
      <c r="B346" s="129">
        <v>170.03</v>
      </c>
      <c r="C346" s="129">
        <v>70.03</v>
      </c>
      <c r="D346" s="129">
        <v>5.63</v>
      </c>
      <c r="E346" s="129">
        <v>75.66</v>
      </c>
      <c r="F346" s="129">
        <v>225.35</v>
      </c>
      <c r="G346" s="234">
        <v>471.03999999999996</v>
      </c>
    </row>
    <row r="347" spans="1:8">
      <c r="A347" s="9" t="s">
        <v>194</v>
      </c>
      <c r="B347" s="129">
        <v>93.579819999999998</v>
      </c>
      <c r="C347" s="129">
        <v>0</v>
      </c>
      <c r="D347" s="129">
        <v>0</v>
      </c>
      <c r="E347" s="129">
        <v>0</v>
      </c>
      <c r="F347" s="129">
        <v>0</v>
      </c>
      <c r="G347" s="234">
        <v>93.579819999999998</v>
      </c>
    </row>
    <row r="348" spans="1:8">
      <c r="A348" s="9" t="s">
        <v>6</v>
      </c>
      <c r="B348" s="129"/>
      <c r="C348" s="129"/>
      <c r="D348" s="129"/>
      <c r="E348" s="129"/>
      <c r="F348" s="129"/>
      <c r="G348" s="234"/>
    </row>
    <row r="349" spans="1:8" ht="17.25">
      <c r="A349" s="9" t="s">
        <v>459</v>
      </c>
      <c r="B349" s="129">
        <v>311.65373603544657</v>
      </c>
      <c r="C349" s="129">
        <v>231.14332138101236</v>
      </c>
      <c r="D349" s="129">
        <v>40.701779983354349</v>
      </c>
      <c r="E349" s="129">
        <v>311.65373603544657</v>
      </c>
      <c r="F349" s="129">
        <v>487.14038289249601</v>
      </c>
      <c r="G349" s="234">
        <v>798.79411892794258</v>
      </c>
    </row>
    <row r="350" spans="1:8">
      <c r="A350" s="9" t="s">
        <v>369</v>
      </c>
      <c r="B350" s="129">
        <v>1.94</v>
      </c>
      <c r="C350" s="129">
        <v>0.01</v>
      </c>
      <c r="D350" s="129">
        <v>0.09</v>
      </c>
      <c r="E350" s="129">
        <v>0.1</v>
      </c>
      <c r="F350" s="129">
        <v>0.01</v>
      </c>
      <c r="G350" s="234">
        <v>2.0499999999999998</v>
      </c>
      <c r="H350" s="129"/>
    </row>
    <row r="351" spans="1:8">
      <c r="A351" s="9" t="s">
        <v>8</v>
      </c>
      <c r="B351" s="129">
        <v>126.32991542904826</v>
      </c>
      <c r="C351" s="129" t="s">
        <v>192</v>
      </c>
      <c r="D351" s="129" t="s">
        <v>192</v>
      </c>
      <c r="E351" s="129">
        <v>40.554409557687023</v>
      </c>
      <c r="F351" s="129" t="s">
        <v>497</v>
      </c>
      <c r="G351" s="234">
        <v>166.88432498673529</v>
      </c>
    </row>
    <row r="352" spans="1:8">
      <c r="A352" s="9" t="s">
        <v>82</v>
      </c>
      <c r="B352" s="129">
        <v>30.461322822914763</v>
      </c>
      <c r="C352" s="129" t="s">
        <v>149</v>
      </c>
      <c r="D352" s="129" t="s">
        <v>149</v>
      </c>
      <c r="E352" s="129" t="s">
        <v>149</v>
      </c>
      <c r="F352" s="129">
        <v>2.492406550555454</v>
      </c>
      <c r="G352" s="234">
        <f>+F352+B352</f>
        <v>32.953729373470217</v>
      </c>
    </row>
    <row r="353" spans="1:7">
      <c r="A353" s="9" t="s">
        <v>9</v>
      </c>
      <c r="B353" s="129">
        <v>28.688138376497967</v>
      </c>
      <c r="C353" s="129">
        <v>8.5441987019470798</v>
      </c>
      <c r="D353" s="129">
        <v>4.4844284550728517</v>
      </c>
      <c r="E353" s="129">
        <v>41.716765533517901</v>
      </c>
      <c r="F353" s="129">
        <v>11.202531271274905</v>
      </c>
      <c r="G353" s="234">
        <v>52.919296804792808</v>
      </c>
    </row>
    <row r="354" spans="1:7">
      <c r="A354" s="29"/>
      <c r="C354" s="200"/>
      <c r="D354" s="200"/>
      <c r="E354" s="200"/>
      <c r="F354" s="200"/>
      <c r="G354" s="200"/>
    </row>
    <row r="355" spans="1:7">
      <c r="A355" s="85" t="s">
        <v>10</v>
      </c>
      <c r="B355" s="202"/>
      <c r="C355" s="202"/>
      <c r="D355" s="202"/>
      <c r="E355" s="202"/>
      <c r="F355" s="202"/>
      <c r="G355" s="202"/>
    </row>
    <row r="356" spans="1:7">
      <c r="A356" s="132" t="s">
        <v>60</v>
      </c>
    </row>
    <row r="357" spans="1:7">
      <c r="A357" s="217" t="s">
        <v>288</v>
      </c>
    </row>
    <row r="358" spans="1:7">
      <c r="A358" s="217" t="s">
        <v>291</v>
      </c>
    </row>
    <row r="359" spans="1:7">
      <c r="A359" s="217" t="s">
        <v>292</v>
      </c>
    </row>
    <row r="360" spans="1:7">
      <c r="A360" s="217" t="s">
        <v>293</v>
      </c>
    </row>
    <row r="361" spans="1:7">
      <c r="A361" s="217" t="s">
        <v>392</v>
      </c>
    </row>
    <row r="363" spans="1:7">
      <c r="A363" s="12" t="s">
        <v>51</v>
      </c>
      <c r="B363" s="29"/>
      <c r="C363" s="29"/>
      <c r="D363" s="29"/>
      <c r="E363" s="29"/>
      <c r="F363" s="29"/>
      <c r="G363" s="203"/>
    </row>
    <row r="364" spans="1:7">
      <c r="A364" s="12" t="s">
        <v>537</v>
      </c>
      <c r="B364" s="204"/>
      <c r="E364" s="204"/>
      <c r="G364" s="204"/>
    </row>
    <row r="365" spans="1:7">
      <c r="A365" s="12"/>
      <c r="B365" s="204"/>
      <c r="E365" s="204"/>
      <c r="G365" s="204"/>
    </row>
    <row r="366" spans="1:7">
      <c r="A366" s="691" t="s">
        <v>0</v>
      </c>
      <c r="B366" s="691" t="s">
        <v>233</v>
      </c>
      <c r="C366" s="691" t="s">
        <v>43</v>
      </c>
      <c r="D366" s="708"/>
      <c r="E366" s="708"/>
      <c r="F366" s="691" t="s">
        <v>21</v>
      </c>
      <c r="G366" s="691" t="s">
        <v>44</v>
      </c>
    </row>
    <row r="367" spans="1:7" ht="30">
      <c r="A367" s="707" t="s">
        <v>0</v>
      </c>
      <c r="B367" s="691"/>
      <c r="C367" s="27" t="s">
        <v>47</v>
      </c>
      <c r="D367" s="27" t="s">
        <v>48</v>
      </c>
      <c r="E367" s="27" t="s">
        <v>10</v>
      </c>
      <c r="F367" s="708"/>
      <c r="G367" s="708"/>
    </row>
    <row r="368" spans="1:7">
      <c r="A368" s="9" t="s">
        <v>4</v>
      </c>
      <c r="B368" s="129">
        <v>469.19385083079084</v>
      </c>
      <c r="C368" s="129">
        <v>113.93857964397813</v>
      </c>
      <c r="D368" s="129">
        <v>18.090265370179328</v>
      </c>
      <c r="E368" s="129">
        <v>132.02884501415744</v>
      </c>
      <c r="F368" s="129">
        <v>39.121839812111773</v>
      </c>
      <c r="G368" s="234">
        <v>640.34453565705996</v>
      </c>
    </row>
    <row r="369" spans="1:8">
      <c r="A369" s="9" t="s">
        <v>5</v>
      </c>
      <c r="B369" s="129">
        <v>214.1255623938564</v>
      </c>
      <c r="C369" s="129">
        <v>62.085300804324106</v>
      </c>
      <c r="D369" s="129">
        <v>8.1652490202737233</v>
      </c>
      <c r="E369" s="129">
        <v>70.250549824597826</v>
      </c>
      <c r="F369" s="129">
        <v>309.18631628144198</v>
      </c>
      <c r="G369" s="234">
        <v>593.56242849989621</v>
      </c>
    </row>
    <row r="370" spans="1:8">
      <c r="A370" s="9" t="s">
        <v>194</v>
      </c>
      <c r="B370" s="129">
        <v>101.79063599999998</v>
      </c>
      <c r="C370" s="129">
        <v>0</v>
      </c>
      <c r="D370" s="129">
        <v>0</v>
      </c>
      <c r="E370" s="129">
        <v>0</v>
      </c>
      <c r="F370" s="129">
        <v>0</v>
      </c>
      <c r="G370" s="234">
        <v>101.79063599999998</v>
      </c>
    </row>
    <row r="371" spans="1:8">
      <c r="A371" s="9" t="s">
        <v>6</v>
      </c>
      <c r="B371" s="129"/>
      <c r="C371" s="129"/>
      <c r="D371" s="129"/>
      <c r="E371" s="129"/>
      <c r="F371" s="129"/>
      <c r="G371" s="234"/>
    </row>
    <row r="372" spans="1:8" ht="17.25">
      <c r="A372" s="9" t="s">
        <v>459</v>
      </c>
      <c r="B372" s="129">
        <v>438.47018469990888</v>
      </c>
      <c r="C372" s="129">
        <v>334.81686287136404</v>
      </c>
      <c r="D372" s="129">
        <v>58.207338374108396</v>
      </c>
      <c r="E372" s="129">
        <v>441.88230742061626</v>
      </c>
      <c r="F372" s="129">
        <v>602.25472337566384</v>
      </c>
      <c r="G372" s="234">
        <v>1044.13703079628</v>
      </c>
    </row>
    <row r="373" spans="1:8">
      <c r="A373" s="9" t="s">
        <v>369</v>
      </c>
      <c r="B373" s="129">
        <v>1.55</v>
      </c>
      <c r="C373" s="129">
        <v>8.0000000000000002E-3</v>
      </c>
      <c r="D373" s="129">
        <v>4.4999999999999998E-2</v>
      </c>
      <c r="E373" s="129">
        <v>5.2999999999999999E-2</v>
      </c>
      <c r="F373" s="129">
        <v>1E-3</v>
      </c>
      <c r="G373" s="234">
        <v>1.6039999999999999</v>
      </c>
      <c r="H373" s="129"/>
    </row>
    <row r="374" spans="1:8">
      <c r="A374" s="9" t="s">
        <v>8</v>
      </c>
      <c r="B374" s="129">
        <v>138.52558796166164</v>
      </c>
      <c r="C374" s="129" t="s">
        <v>192</v>
      </c>
      <c r="D374" s="129" t="s">
        <v>192</v>
      </c>
      <c r="E374" s="129">
        <v>43.884531189851451</v>
      </c>
      <c r="F374" s="129" t="s">
        <v>497</v>
      </c>
      <c r="G374" s="234">
        <v>182.41011915151307</v>
      </c>
    </row>
    <row r="375" spans="1:8">
      <c r="A375" s="9" t="s">
        <v>82</v>
      </c>
      <c r="B375" s="129">
        <f>29196317.8509255/1000000</f>
        <v>29.196317850925503</v>
      </c>
      <c r="C375" s="129" t="s">
        <v>149</v>
      </c>
      <c r="D375" s="129" t="s">
        <v>149</v>
      </c>
      <c r="E375" s="129" t="s">
        <v>149</v>
      </c>
      <c r="F375" s="129">
        <v>4.2608125906785403</v>
      </c>
      <c r="G375" s="234">
        <f>+F375+B375</f>
        <v>33.457130441604043</v>
      </c>
    </row>
    <row r="376" spans="1:8">
      <c r="A376" s="9" t="s">
        <v>9</v>
      </c>
      <c r="B376" s="129">
        <v>43.992311571290699</v>
      </c>
      <c r="C376" s="129">
        <v>8.918235496017008</v>
      </c>
      <c r="D376" s="129">
        <v>5.1869026694665612</v>
      </c>
      <c r="E376" s="129">
        <v>58.097449736774266</v>
      </c>
      <c r="F376" s="129">
        <v>2.009125888850086</v>
      </c>
      <c r="G376" s="234">
        <v>60.106575625624352</v>
      </c>
    </row>
    <row r="377" spans="1:8">
      <c r="A377" s="29"/>
      <c r="C377" s="200"/>
      <c r="D377" s="200"/>
      <c r="E377" s="200"/>
      <c r="F377" s="200"/>
      <c r="G377" s="200"/>
    </row>
    <row r="378" spans="1:8">
      <c r="A378" s="85" t="s">
        <v>10</v>
      </c>
      <c r="B378" s="202"/>
      <c r="C378" s="202"/>
      <c r="D378" s="202"/>
      <c r="E378" s="202"/>
      <c r="F378" s="202"/>
      <c r="G378" s="202"/>
    </row>
    <row r="379" spans="1:8">
      <c r="A379" s="132" t="s">
        <v>60</v>
      </c>
    </row>
    <row r="380" spans="1:8">
      <c r="A380" s="217" t="s">
        <v>288</v>
      </c>
    </row>
    <row r="381" spans="1:8">
      <c r="A381" s="217" t="s">
        <v>291</v>
      </c>
    </row>
    <row r="382" spans="1:8">
      <c r="A382" s="217" t="s">
        <v>292</v>
      </c>
    </row>
    <row r="383" spans="1:8">
      <c r="A383" s="217" t="s">
        <v>293</v>
      </c>
    </row>
    <row r="384" spans="1:8">
      <c r="A384" s="217" t="s">
        <v>392</v>
      </c>
    </row>
  </sheetData>
  <mergeCells count="93">
    <mergeCell ref="A297:A298"/>
    <mergeCell ref="B297:B298"/>
    <mergeCell ref="C297:E297"/>
    <mergeCell ref="F297:F298"/>
    <mergeCell ref="G297:G298"/>
    <mergeCell ref="A274:A275"/>
    <mergeCell ref="B274:B275"/>
    <mergeCell ref="C274:E274"/>
    <mergeCell ref="F274:F275"/>
    <mergeCell ref="G274:G275"/>
    <mergeCell ref="A251:A252"/>
    <mergeCell ref="B251:B252"/>
    <mergeCell ref="C251:E251"/>
    <mergeCell ref="F251:F252"/>
    <mergeCell ref="G251:G252"/>
    <mergeCell ref="F157:F158"/>
    <mergeCell ref="G157:G158"/>
    <mergeCell ref="G111:G112"/>
    <mergeCell ref="A180:A181"/>
    <mergeCell ref="B180:B181"/>
    <mergeCell ref="C180:E180"/>
    <mergeCell ref="A111:A112"/>
    <mergeCell ref="A157:A158"/>
    <mergeCell ref="B157:B158"/>
    <mergeCell ref="C157:E157"/>
    <mergeCell ref="F180:F181"/>
    <mergeCell ref="G180:G181"/>
    <mergeCell ref="C121:D121"/>
    <mergeCell ref="G134:G135"/>
    <mergeCell ref="A134:A135"/>
    <mergeCell ref="B134:B135"/>
    <mergeCell ref="G88:G89"/>
    <mergeCell ref="C74:D74"/>
    <mergeCell ref="G5:G6"/>
    <mergeCell ref="A25:A26"/>
    <mergeCell ref="B25:B26"/>
    <mergeCell ref="C25:E25"/>
    <mergeCell ref="F25:F26"/>
    <mergeCell ref="A5:A6"/>
    <mergeCell ref="F5:F6"/>
    <mergeCell ref="C5:E5"/>
    <mergeCell ref="G25:G26"/>
    <mergeCell ref="G45:G46"/>
    <mergeCell ref="C33:D33"/>
    <mergeCell ref="G64:G65"/>
    <mergeCell ref="C15:D15"/>
    <mergeCell ref="C13:D13"/>
    <mergeCell ref="C35:D35"/>
    <mergeCell ref="F88:F89"/>
    <mergeCell ref="A64:A65"/>
    <mergeCell ref="B5:B6"/>
    <mergeCell ref="B111:B112"/>
    <mergeCell ref="C111:E111"/>
    <mergeCell ref="A88:A89"/>
    <mergeCell ref="B88:B89"/>
    <mergeCell ref="C88:E88"/>
    <mergeCell ref="B64:B65"/>
    <mergeCell ref="C64:E64"/>
    <mergeCell ref="F64:F65"/>
    <mergeCell ref="F45:F46"/>
    <mergeCell ref="C98:D98"/>
    <mergeCell ref="C134:E134"/>
    <mergeCell ref="F134:F135"/>
    <mergeCell ref="A45:A46"/>
    <mergeCell ref="B45:B46"/>
    <mergeCell ref="C45:E45"/>
    <mergeCell ref="F111:F112"/>
    <mergeCell ref="C55:D55"/>
    <mergeCell ref="A228:A229"/>
    <mergeCell ref="B228:B229"/>
    <mergeCell ref="C228:E228"/>
    <mergeCell ref="F228:F229"/>
    <mergeCell ref="G228:G229"/>
    <mergeCell ref="A205:A206"/>
    <mergeCell ref="B205:B206"/>
    <mergeCell ref="C205:E205"/>
    <mergeCell ref="F205:F206"/>
    <mergeCell ref="G205:G206"/>
    <mergeCell ref="A320:A321"/>
    <mergeCell ref="B320:B321"/>
    <mergeCell ref="C320:E320"/>
    <mergeCell ref="F320:F321"/>
    <mergeCell ref="G320:G321"/>
    <mergeCell ref="A343:A344"/>
    <mergeCell ref="B343:B344"/>
    <mergeCell ref="C343:E343"/>
    <mergeCell ref="F343:F344"/>
    <mergeCell ref="G343:G344"/>
    <mergeCell ref="A366:A367"/>
    <mergeCell ref="B366:B367"/>
    <mergeCell ref="C366:E366"/>
    <mergeCell ref="F366:F367"/>
    <mergeCell ref="G366:G367"/>
  </mergeCells>
  <phoneticPr fontId="9" type="noConversion"/>
  <pageMargins left="0.7" right="0.7" top="0.75" bottom="0.75" header="0.3" footer="0.3"/>
  <pageSetup scale="80" fitToHeight="0" orientation="portrait" r:id="rId1"/>
  <headerFooter alignWithMargins="0">
    <oddHeader>&amp;A</oddHeader>
    <oddFooter>&amp;L&amp;F&amp;R&amp;D</oddFooter>
  </headerFooter>
  <rowBreaks count="2" manualBreakCount="2">
    <brk id="60" max="16383" man="1"/>
    <brk id="107" max="16383"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X28"/>
  <sheetViews>
    <sheetView showGridLines="0" zoomScale="90" zoomScaleNormal="90" workbookViewId="0"/>
  </sheetViews>
  <sheetFormatPr baseColWidth="10" defaultRowHeight="15"/>
  <cols>
    <col min="1" max="1" width="12.625" style="13" customWidth="1"/>
    <col min="2" max="7" width="8.625" style="143" customWidth="1"/>
    <col min="8" max="15" width="8.625" style="13" customWidth="1"/>
    <col min="16" max="16" width="10" style="13" customWidth="1"/>
    <col min="17" max="16384" width="11" style="13"/>
  </cols>
  <sheetData>
    <row r="1" spans="1:24">
      <c r="A1" s="10" t="s">
        <v>322</v>
      </c>
    </row>
    <row r="2" spans="1:24" ht="15.75" customHeight="1">
      <c r="A2" s="12" t="s">
        <v>509</v>
      </c>
      <c r="B2" s="13"/>
      <c r="C2" s="13"/>
      <c r="D2" s="13"/>
      <c r="E2" s="13"/>
      <c r="F2" s="12"/>
      <c r="G2" s="13"/>
    </row>
    <row r="3" spans="1:24" ht="15.75" customHeight="1">
      <c r="A3" s="10" t="s">
        <v>32</v>
      </c>
      <c r="B3" s="11"/>
      <c r="C3" s="13"/>
      <c r="D3" s="13"/>
      <c r="E3" s="13"/>
      <c r="F3" s="175"/>
      <c r="G3" s="13"/>
    </row>
    <row r="4" spans="1:24" ht="8.1" customHeight="1">
      <c r="A4" s="74"/>
      <c r="B4" s="75"/>
      <c r="C4" s="75"/>
      <c r="D4" s="75"/>
      <c r="E4" s="75"/>
      <c r="F4" s="175"/>
      <c r="G4" s="75"/>
    </row>
    <row r="5" spans="1:24" s="144" customFormat="1" ht="30" customHeight="1">
      <c r="A5" s="513" t="s">
        <v>0</v>
      </c>
      <c r="B5" s="502">
        <v>2003</v>
      </c>
      <c r="C5" s="502">
        <v>2004</v>
      </c>
      <c r="D5" s="502">
        <v>2005</v>
      </c>
      <c r="E5" s="502">
        <v>2006</v>
      </c>
      <c r="F5" s="502">
        <v>2007</v>
      </c>
      <c r="G5" s="502">
        <v>2008</v>
      </c>
      <c r="H5" s="502">
        <v>2009</v>
      </c>
      <c r="I5" s="502">
        <v>2010</v>
      </c>
      <c r="J5" s="502">
        <v>2011</v>
      </c>
      <c r="K5" s="502">
        <v>2012</v>
      </c>
      <c r="L5" s="502">
        <v>2013</v>
      </c>
      <c r="M5" s="502">
        <v>2014</v>
      </c>
      <c r="N5" s="502">
        <v>2015</v>
      </c>
      <c r="O5" s="502">
        <v>2016</v>
      </c>
      <c r="P5" s="502">
        <v>2017</v>
      </c>
      <c r="Q5" s="502">
        <v>2018</v>
      </c>
      <c r="R5" s="502">
        <v>2019</v>
      </c>
      <c r="S5" s="502">
        <v>2020</v>
      </c>
      <c r="T5" s="502">
        <v>2021</v>
      </c>
      <c r="U5" s="502">
        <v>2022</v>
      </c>
      <c r="V5" s="502">
        <v>2023</v>
      </c>
      <c r="W5" s="502">
        <v>2024</v>
      </c>
      <c r="X5" s="502">
        <v>2025</v>
      </c>
    </row>
    <row r="6" spans="1:24" s="134" customFormat="1" ht="8.1" customHeight="1">
      <c r="A6" s="18"/>
      <c r="B6" s="135"/>
      <c r="C6" s="135"/>
      <c r="D6" s="135"/>
      <c r="E6" s="135"/>
      <c r="F6" s="176"/>
      <c r="G6" s="135"/>
    </row>
    <row r="7" spans="1:24" ht="15.75" hidden="1" customHeight="1">
      <c r="A7" s="9" t="s">
        <v>2</v>
      </c>
      <c r="B7" s="90">
        <v>254.64155064881331</v>
      </c>
      <c r="C7" s="90">
        <v>313.53473364297446</v>
      </c>
      <c r="D7" s="90">
        <v>354.80380224890024</v>
      </c>
      <c r="E7" s="90">
        <v>389.9090968293097</v>
      </c>
      <c r="F7" s="90">
        <v>487.48204321513981</v>
      </c>
      <c r="G7" s="178"/>
      <c r="H7" s="80"/>
      <c r="I7" s="80"/>
      <c r="J7" s="80"/>
      <c r="K7" s="80"/>
      <c r="L7" s="80"/>
      <c r="M7" s="80"/>
      <c r="N7" s="80"/>
    </row>
    <row r="8" spans="1:24" ht="15.75" hidden="1" customHeight="1">
      <c r="A8" s="9" t="s">
        <v>131</v>
      </c>
      <c r="B8" s="90">
        <v>630.55262378125394</v>
      </c>
      <c r="C8" s="90">
        <v>633.83202100105234</v>
      </c>
      <c r="D8" s="90">
        <v>584.45578452204836</v>
      </c>
      <c r="E8" s="90">
        <v>583.68373358414601</v>
      </c>
      <c r="F8" s="90">
        <v>654.24651350729505</v>
      </c>
      <c r="G8" s="90">
        <v>818.8521346493103</v>
      </c>
      <c r="H8" s="90">
        <v>897.51614893623105</v>
      </c>
      <c r="I8" s="80"/>
      <c r="J8" s="80"/>
      <c r="K8" s="80"/>
      <c r="L8" s="80"/>
      <c r="M8" s="80"/>
      <c r="N8" s="80"/>
    </row>
    <row r="9" spans="1:24" ht="15.75" customHeight="1">
      <c r="A9" s="9" t="s">
        <v>4</v>
      </c>
      <c r="B9" s="90">
        <v>695.98890419695908</v>
      </c>
      <c r="C9" s="90">
        <v>892.26497408462035</v>
      </c>
      <c r="D9" s="90">
        <v>1129.9269148529563</v>
      </c>
      <c r="E9" s="90">
        <v>1167.6187258995783</v>
      </c>
      <c r="F9" s="90">
        <v>1310.2576024741538</v>
      </c>
      <c r="G9" s="90">
        <v>1332.9369410802594</v>
      </c>
      <c r="H9" s="90">
        <v>1487.5005366697515</v>
      </c>
      <c r="I9" s="179" t="s">
        <v>149</v>
      </c>
      <c r="J9" s="179">
        <v>1687</v>
      </c>
      <c r="K9" s="179">
        <v>1969</v>
      </c>
      <c r="L9" s="179">
        <v>1937</v>
      </c>
      <c r="M9" s="179">
        <v>1802</v>
      </c>
      <c r="N9" s="179">
        <v>1641</v>
      </c>
      <c r="O9" s="179">
        <v>1765.5186436358265</v>
      </c>
      <c r="P9" s="179">
        <v>2067.7882758900728</v>
      </c>
      <c r="Q9" s="179">
        <v>1935.0081292931932</v>
      </c>
      <c r="R9" s="179">
        <v>1970.9557091953473</v>
      </c>
      <c r="S9" s="179">
        <v>2237.3208086812024</v>
      </c>
      <c r="T9" s="179">
        <v>2212.7382964272433</v>
      </c>
      <c r="U9" s="179">
        <v>2291.5802269277015</v>
      </c>
      <c r="V9" s="179">
        <v>2017.3704190647284</v>
      </c>
      <c r="W9" s="179">
        <v>2015.082569613234</v>
      </c>
      <c r="X9" s="179">
        <v>2285.4350971120275</v>
      </c>
    </row>
    <row r="10" spans="1:24" ht="15.75" customHeight="1">
      <c r="A10" s="9" t="s">
        <v>511</v>
      </c>
      <c r="B10" s="90">
        <v>728.35045511634928</v>
      </c>
      <c r="C10" s="90">
        <v>914.02179571376485</v>
      </c>
      <c r="D10" s="90">
        <v>1181.3920160260175</v>
      </c>
      <c r="E10" s="90">
        <v>1243.8129785928782</v>
      </c>
      <c r="F10" s="90">
        <v>1439.2214285316602</v>
      </c>
      <c r="G10" s="179">
        <v>1351.7773794344839</v>
      </c>
      <c r="H10" s="90">
        <v>1722.2781192150762</v>
      </c>
      <c r="I10" s="179">
        <v>1778.2412695909284</v>
      </c>
      <c r="J10" s="179">
        <v>1467.223508852265</v>
      </c>
      <c r="K10" s="179">
        <v>1557.7747555916885</v>
      </c>
      <c r="L10" s="179">
        <v>1526.8655574384838</v>
      </c>
      <c r="M10" s="179">
        <v>1238.7345283917307</v>
      </c>
      <c r="N10" s="179">
        <v>1019.4832407202643</v>
      </c>
      <c r="O10" s="179">
        <v>1199.8655951374817</v>
      </c>
      <c r="P10" s="179">
        <v>1112.9448620537435</v>
      </c>
      <c r="Q10" s="179" t="s">
        <v>149</v>
      </c>
      <c r="R10" s="179" t="s">
        <v>149</v>
      </c>
      <c r="S10" s="179" t="s">
        <v>149</v>
      </c>
      <c r="T10" s="179">
        <v>895.90894841538</v>
      </c>
      <c r="U10" s="179">
        <v>814.60189980121868</v>
      </c>
      <c r="V10" s="179">
        <v>1143.5427999080125</v>
      </c>
      <c r="W10" s="179">
        <v>1113.9228297949289</v>
      </c>
      <c r="X10" s="179">
        <v>1382.90005892</v>
      </c>
    </row>
    <row r="11" spans="1:24" ht="15.75" customHeight="1">
      <c r="A11" s="9" t="s">
        <v>514</v>
      </c>
      <c r="B11" s="90">
        <v>190.7553189410483</v>
      </c>
      <c r="C11" s="90">
        <v>200.13573744589101</v>
      </c>
      <c r="D11" s="90">
        <v>203.09037923090648</v>
      </c>
      <c r="E11" s="90">
        <v>210.04367758641516</v>
      </c>
      <c r="F11" s="90">
        <v>239.22515088242776</v>
      </c>
      <c r="G11" s="179">
        <v>242.25606966266156</v>
      </c>
      <c r="H11" s="90">
        <v>275.75617141317667</v>
      </c>
      <c r="I11" s="180">
        <v>369.45183170018623</v>
      </c>
      <c r="J11" s="181">
        <v>365.75835094723288</v>
      </c>
      <c r="K11" s="182">
        <v>389.6763322640457</v>
      </c>
      <c r="L11" s="182">
        <v>422.09153867499725</v>
      </c>
      <c r="M11" s="182">
        <v>417.42089315702475</v>
      </c>
      <c r="N11" s="183">
        <v>426.43003126614087</v>
      </c>
      <c r="O11" s="181">
        <v>457.1</v>
      </c>
      <c r="P11" s="181">
        <v>445</v>
      </c>
      <c r="Q11" s="179">
        <v>450</v>
      </c>
      <c r="R11" s="179">
        <v>822</v>
      </c>
      <c r="S11" s="179">
        <v>615</v>
      </c>
      <c r="T11" s="179">
        <v>1053.71</v>
      </c>
      <c r="U11" s="179">
        <v>1575</v>
      </c>
      <c r="V11" s="179">
        <v>814</v>
      </c>
      <c r="W11" s="179">
        <v>863</v>
      </c>
      <c r="X11" s="179">
        <v>871.85896980435609</v>
      </c>
    </row>
    <row r="12" spans="1:24" ht="15.75" customHeight="1">
      <c r="A12" s="9" t="s">
        <v>6</v>
      </c>
      <c r="B12" s="90">
        <v>585.17717536751809</v>
      </c>
      <c r="C12" s="90">
        <v>611.09331617630403</v>
      </c>
      <c r="D12" s="90">
        <v>641.75792157087551</v>
      </c>
      <c r="E12" s="90">
        <v>673.66051499941625</v>
      </c>
      <c r="F12" s="90">
        <v>697.30065940131919</v>
      </c>
      <c r="G12" s="179">
        <v>745.58462390610862</v>
      </c>
      <c r="H12" s="90">
        <v>774.7749727522995</v>
      </c>
      <c r="I12" s="90">
        <v>786.32594149813383</v>
      </c>
      <c r="J12" s="90">
        <v>815.80839606023653</v>
      </c>
      <c r="K12" s="90">
        <v>823.77756064347864</v>
      </c>
      <c r="L12" s="90">
        <v>859.13141688469022</v>
      </c>
      <c r="M12" s="90">
        <v>912.53995940719904</v>
      </c>
      <c r="N12" s="90">
        <v>924.37135741016493</v>
      </c>
      <c r="O12" s="90">
        <v>936.5849512866123</v>
      </c>
      <c r="P12" s="90">
        <v>1009.4103246047125</v>
      </c>
      <c r="Q12" s="90">
        <v>1194.6621747404331</v>
      </c>
      <c r="R12" s="90">
        <v>1213.1289781020903</v>
      </c>
      <c r="S12" s="90">
        <v>1198.5890054323934</v>
      </c>
      <c r="T12" s="90">
        <v>1225.242</v>
      </c>
      <c r="U12" s="179" t="s">
        <v>149</v>
      </c>
      <c r="V12" s="179" t="s">
        <v>149</v>
      </c>
      <c r="W12" s="179" t="s">
        <v>149</v>
      </c>
      <c r="X12" s="179" t="s">
        <v>149</v>
      </c>
    </row>
    <row r="13" spans="1:24" ht="15.75" customHeight="1">
      <c r="A13" s="9" t="s">
        <v>515</v>
      </c>
      <c r="B13" s="90">
        <v>429.5221925200384</v>
      </c>
      <c r="C13" s="90">
        <v>430.73866458535474</v>
      </c>
      <c r="D13" s="90">
        <v>499.60460835815326</v>
      </c>
      <c r="E13" s="90">
        <v>533.12778140901241</v>
      </c>
      <c r="F13" s="90">
        <v>563.65257864378407</v>
      </c>
      <c r="G13" s="179">
        <v>682.1777807916169</v>
      </c>
      <c r="H13" s="90">
        <v>584.44667591830421</v>
      </c>
      <c r="I13" s="179" t="s">
        <v>149</v>
      </c>
      <c r="J13" s="90">
        <v>646.24233628093828</v>
      </c>
      <c r="K13" s="90">
        <v>717.15140422416368</v>
      </c>
      <c r="L13" s="90">
        <v>743.10979905084753</v>
      </c>
      <c r="M13" s="90">
        <v>699.5064701777527</v>
      </c>
      <c r="N13" s="90">
        <v>626.39304656646004</v>
      </c>
      <c r="O13" s="90">
        <v>513.1441989868656</v>
      </c>
      <c r="P13" s="90">
        <v>552.1054087343407</v>
      </c>
      <c r="Q13" s="90">
        <v>659.38855572260593</v>
      </c>
      <c r="R13" s="90">
        <v>670.76407741391256</v>
      </c>
      <c r="S13" s="90">
        <v>750.67492115356697</v>
      </c>
      <c r="T13" s="90">
        <v>739.24458022354725</v>
      </c>
      <c r="U13" s="90">
        <v>774.63577411095287</v>
      </c>
      <c r="V13" s="90">
        <v>1078.8892682828523</v>
      </c>
      <c r="W13" s="90">
        <v>1028.9825210898809</v>
      </c>
      <c r="X13" s="90">
        <v>1425.0120380672172</v>
      </c>
    </row>
    <row r="14" spans="1:24" ht="15.75" customHeight="1">
      <c r="A14" s="9" t="s">
        <v>369</v>
      </c>
      <c r="B14" s="179" t="s">
        <v>149</v>
      </c>
      <c r="C14" s="179" t="s">
        <v>149</v>
      </c>
      <c r="D14" s="179" t="s">
        <v>149</v>
      </c>
      <c r="E14" s="179" t="s">
        <v>149</v>
      </c>
      <c r="F14" s="179" t="s">
        <v>149</v>
      </c>
      <c r="G14" s="179" t="s">
        <v>149</v>
      </c>
      <c r="H14" s="90">
        <v>359986.66008139617</v>
      </c>
      <c r="I14" s="179" t="s">
        <v>149</v>
      </c>
      <c r="J14" s="179" t="s">
        <v>149</v>
      </c>
      <c r="K14" s="179" t="s">
        <v>149</v>
      </c>
      <c r="L14" s="179" t="s">
        <v>149</v>
      </c>
      <c r="M14" s="311">
        <v>22.71</v>
      </c>
      <c r="N14" s="311">
        <v>27.96</v>
      </c>
      <c r="O14" s="311">
        <v>35.380000000000003</v>
      </c>
      <c r="P14" s="311">
        <v>455.15</v>
      </c>
      <c r="Q14" s="311">
        <v>596.74</v>
      </c>
      <c r="R14" s="311">
        <v>598.03</v>
      </c>
      <c r="S14" s="311">
        <v>590.04999999999995</v>
      </c>
      <c r="T14" s="311">
        <v>826.52</v>
      </c>
      <c r="U14" s="311">
        <v>336.76</v>
      </c>
      <c r="V14" s="311">
        <v>586</v>
      </c>
      <c r="W14" s="311">
        <v>1039</v>
      </c>
      <c r="X14" s="311">
        <v>562</v>
      </c>
    </row>
    <row r="15" spans="1:24" ht="15.75" customHeight="1">
      <c r="A15" s="9" t="s">
        <v>363</v>
      </c>
      <c r="B15" s="179" t="s">
        <v>149</v>
      </c>
      <c r="C15" s="179" t="s">
        <v>149</v>
      </c>
      <c r="D15" s="179" t="s">
        <v>149</v>
      </c>
      <c r="E15" s="179" t="s">
        <v>149</v>
      </c>
      <c r="F15" s="179" t="s">
        <v>149</v>
      </c>
      <c r="G15" s="179" t="s">
        <v>149</v>
      </c>
      <c r="H15" s="179" t="s">
        <v>149</v>
      </c>
      <c r="I15" s="179" t="s">
        <v>149</v>
      </c>
      <c r="J15" s="179" t="s">
        <v>149</v>
      </c>
      <c r="K15" s="179" t="s">
        <v>149</v>
      </c>
      <c r="L15" s="179" t="s">
        <v>149</v>
      </c>
      <c r="M15" s="179" t="s">
        <v>149</v>
      </c>
      <c r="N15" s="90">
        <v>251</v>
      </c>
      <c r="O15" s="90">
        <v>332</v>
      </c>
      <c r="P15" s="90">
        <v>336</v>
      </c>
      <c r="Q15" s="311">
        <v>409</v>
      </c>
      <c r="R15" s="311">
        <v>427</v>
      </c>
      <c r="S15" s="179" t="s">
        <v>149</v>
      </c>
      <c r="T15" s="179" t="s">
        <v>149</v>
      </c>
      <c r="U15" s="179" t="s">
        <v>149</v>
      </c>
      <c r="V15" s="179" t="s">
        <v>149</v>
      </c>
      <c r="W15" s="179" t="s">
        <v>149</v>
      </c>
      <c r="X15" s="179" t="s">
        <v>149</v>
      </c>
    </row>
    <row r="16" spans="1:24" ht="15.75" customHeight="1">
      <c r="A16" s="9" t="s">
        <v>8</v>
      </c>
      <c r="B16" s="90">
        <v>468.02138630371616</v>
      </c>
      <c r="C16" s="90">
        <v>496.63110614868157</v>
      </c>
      <c r="D16" s="90">
        <v>556.42947368959744</v>
      </c>
      <c r="E16" s="90">
        <v>853.31750508516654</v>
      </c>
      <c r="F16" s="90">
        <v>1090.7591428910841</v>
      </c>
      <c r="G16" s="179">
        <v>943.79605520020493</v>
      </c>
      <c r="H16" s="90">
        <v>897.30175461073463</v>
      </c>
      <c r="I16" s="90">
        <v>940.89322357382855</v>
      </c>
      <c r="J16" s="90">
        <v>1005.5753352134287</v>
      </c>
      <c r="K16" s="90">
        <v>1096.6722379838632</v>
      </c>
      <c r="L16" s="90">
        <v>1162.024485193554</v>
      </c>
      <c r="M16" s="90">
        <v>1152.5347600825901</v>
      </c>
      <c r="N16" s="90">
        <v>1095.9200643536678</v>
      </c>
      <c r="O16" s="90">
        <v>945.63365959904058</v>
      </c>
      <c r="P16" s="90">
        <v>1131.4182758454021</v>
      </c>
      <c r="Q16" s="90">
        <v>1318.0258369567036</v>
      </c>
      <c r="R16" s="90">
        <v>1327.595730711633</v>
      </c>
      <c r="S16" s="90">
        <v>1141.1368790727963</v>
      </c>
      <c r="T16" s="90">
        <v>1103.4051629563373</v>
      </c>
      <c r="U16" s="90">
        <v>1059.4072059252653</v>
      </c>
      <c r="V16" s="90">
        <v>1073.0485123901069</v>
      </c>
      <c r="W16" s="90">
        <v>1081.8537314458799</v>
      </c>
      <c r="X16" s="90">
        <v>1157.4941783146278</v>
      </c>
    </row>
    <row r="17" spans="1:24" ht="15.75" customHeight="1">
      <c r="A17" s="9" t="s">
        <v>82</v>
      </c>
      <c r="B17" s="90">
        <v>131.66484458211031</v>
      </c>
      <c r="C17" s="179">
        <v>259.90763885335946</v>
      </c>
      <c r="D17" s="90">
        <v>336.32780015542193</v>
      </c>
      <c r="E17" s="90">
        <v>323.0779034057623</v>
      </c>
      <c r="F17" s="90">
        <v>324.94728618165959</v>
      </c>
      <c r="G17" s="90">
        <v>371.98931674038278</v>
      </c>
      <c r="H17" s="90">
        <v>385.0365638075175</v>
      </c>
      <c r="I17" s="179" t="s">
        <v>149</v>
      </c>
      <c r="J17" s="90">
        <v>412.21832682521409</v>
      </c>
      <c r="K17" s="90">
        <v>417.89917907501001</v>
      </c>
      <c r="L17" s="90">
        <v>409.37325403084623</v>
      </c>
      <c r="M17" s="90">
        <v>412.63796829709764</v>
      </c>
      <c r="N17" s="90">
        <v>412.56071548631087</v>
      </c>
      <c r="O17" s="90">
        <v>411.11309886320015</v>
      </c>
      <c r="P17" s="90">
        <v>418.31834635287407</v>
      </c>
      <c r="Q17" s="90">
        <v>429.47667216762665</v>
      </c>
      <c r="R17" s="90">
        <v>57.14402485003761</v>
      </c>
      <c r="S17" s="90">
        <v>44.217514265674147</v>
      </c>
      <c r="T17" s="90">
        <v>656.63011992928216</v>
      </c>
      <c r="U17" s="90">
        <v>781.07459319777865</v>
      </c>
      <c r="V17" s="90">
        <v>601.76631474621797</v>
      </c>
      <c r="W17" s="90">
        <v>615.93097571960368</v>
      </c>
      <c r="X17" s="90">
        <v>625.99638495273598</v>
      </c>
    </row>
    <row r="18" spans="1:24" ht="15.75" customHeight="1">
      <c r="A18" s="9" t="s">
        <v>9</v>
      </c>
      <c r="B18" s="90">
        <v>316.35044098932781</v>
      </c>
      <c r="C18" s="90">
        <v>341.73822960974013</v>
      </c>
      <c r="D18" s="90">
        <v>418.49214913007376</v>
      </c>
      <c r="E18" s="90">
        <v>467.9085474268191</v>
      </c>
      <c r="F18" s="90">
        <v>541.20439269005692</v>
      </c>
      <c r="G18" s="90">
        <v>690.78089105733443</v>
      </c>
      <c r="H18" s="90">
        <v>730.64808707403949</v>
      </c>
      <c r="I18" s="179" t="s">
        <v>149</v>
      </c>
      <c r="J18" s="179" t="s">
        <v>149</v>
      </c>
      <c r="K18" s="179">
        <v>1134.7090899406057</v>
      </c>
      <c r="L18" s="179">
        <v>1268.0157722437814</v>
      </c>
      <c r="M18" s="179">
        <v>1277.410772121086</v>
      </c>
      <c r="N18" s="179">
        <v>1317.7419672397225</v>
      </c>
      <c r="O18" s="90">
        <v>1236.8324609370341</v>
      </c>
      <c r="P18" s="90">
        <v>1413.8099826092616</v>
      </c>
      <c r="Q18" s="90">
        <v>1369.5500893471146</v>
      </c>
      <c r="R18" s="90">
        <v>1350.1030400774644</v>
      </c>
      <c r="S18" s="90">
        <v>1193.3650043980017</v>
      </c>
      <c r="T18" s="90">
        <v>1204.8379760553846</v>
      </c>
      <c r="U18" s="90">
        <v>1540.9244557200366</v>
      </c>
      <c r="V18" s="90">
        <v>1613.3889080978049</v>
      </c>
      <c r="W18" s="90">
        <v>1521.6155818922325</v>
      </c>
      <c r="X18" s="90">
        <v>2248.5851037297953</v>
      </c>
    </row>
    <row r="19" spans="1:24" ht="8.1" customHeight="1">
      <c r="A19" s="9"/>
      <c r="B19" s="185"/>
      <c r="C19" s="185"/>
      <c r="D19" s="185"/>
      <c r="E19" s="185"/>
      <c r="F19" s="185"/>
      <c r="G19" s="185"/>
    </row>
    <row r="20" spans="1:24" s="11" customFormat="1" ht="15.75" customHeight="1">
      <c r="A20" s="85" t="s">
        <v>10</v>
      </c>
      <c r="B20" s="571">
        <v>468.83795113087371</v>
      </c>
      <c r="C20" s="571">
        <v>520.84182290990509</v>
      </c>
      <c r="D20" s="571">
        <v>615.5523622283539</v>
      </c>
      <c r="E20" s="571">
        <v>664.12516597552121</v>
      </c>
      <c r="F20" s="571">
        <v>755.95898237729659</v>
      </c>
      <c r="G20" s="571">
        <v>866.61777875406574</v>
      </c>
      <c r="H20" s="571">
        <v>1445.4508321585354</v>
      </c>
      <c r="I20" s="571"/>
      <c r="J20" s="571"/>
      <c r="K20" s="571"/>
      <c r="L20" s="571"/>
      <c r="M20" s="571"/>
      <c r="N20" s="571"/>
      <c r="O20" s="571"/>
      <c r="P20" s="571"/>
      <c r="Q20" s="571"/>
      <c r="R20" s="571"/>
      <c r="S20" s="512"/>
      <c r="T20" s="512"/>
      <c r="U20" s="512"/>
      <c r="V20" s="512"/>
      <c r="W20" s="512"/>
      <c r="X20" s="512"/>
    </row>
    <row r="21" spans="1:24" ht="6.75" customHeight="1">
      <c r="A21" s="9"/>
      <c r="B21" s="87"/>
      <c r="C21" s="87"/>
      <c r="D21" s="87"/>
      <c r="E21" s="87"/>
      <c r="F21" s="13"/>
      <c r="G21" s="87"/>
    </row>
    <row r="22" spans="1:24" ht="14.1" customHeight="1">
      <c r="A22" s="29" t="s">
        <v>510</v>
      </c>
      <c r="B22" s="13"/>
      <c r="C22" s="13"/>
      <c r="D22" s="13"/>
      <c r="E22" s="13"/>
      <c r="F22" s="29"/>
      <c r="G22" s="13"/>
    </row>
    <row r="23" spans="1:24" ht="12" customHeight="1">
      <c r="A23" s="29" t="s">
        <v>512</v>
      </c>
      <c r="B23" s="13"/>
      <c r="C23" s="13"/>
      <c r="D23" s="13"/>
      <c r="E23" s="13"/>
      <c r="F23" s="13"/>
      <c r="G23" s="13"/>
    </row>
    <row r="24" spans="1:24" ht="12" customHeight="1">
      <c r="A24" s="594" t="s">
        <v>516</v>
      </c>
      <c r="B24" s="13"/>
      <c r="C24" s="13"/>
      <c r="D24" s="13"/>
      <c r="E24" s="13"/>
      <c r="F24" s="13"/>
      <c r="G24" s="13"/>
    </row>
    <row r="25" spans="1:24" ht="12" customHeight="1">
      <c r="A25" s="29" t="s">
        <v>513</v>
      </c>
      <c r="B25" s="13"/>
      <c r="C25" s="13"/>
      <c r="D25" s="13"/>
      <c r="E25" s="13"/>
      <c r="F25" s="13"/>
      <c r="G25" s="13"/>
    </row>
    <row r="26" spans="1:24" ht="12" customHeight="1">
      <c r="A26" s="29"/>
      <c r="B26" s="13"/>
      <c r="C26" s="13"/>
      <c r="D26" s="13"/>
      <c r="E26" s="13"/>
      <c r="F26" s="13"/>
      <c r="G26" s="13"/>
    </row>
    <row r="27" spans="1:24" ht="12" customHeight="1">
      <c r="A27" s="29" t="s">
        <v>46</v>
      </c>
      <c r="B27" s="13"/>
      <c r="C27" s="13"/>
      <c r="D27" s="13"/>
      <c r="E27" s="13"/>
      <c r="F27" s="13"/>
      <c r="G27" s="13"/>
    </row>
    <row r="28" spans="1:24" ht="12" customHeight="1">
      <c r="A28" s="29"/>
      <c r="B28" s="13"/>
      <c r="C28" s="13"/>
      <c r="D28" s="13"/>
      <c r="E28" s="13"/>
      <c r="F28" s="13"/>
      <c r="G28" s="13"/>
    </row>
  </sheetData>
  <phoneticPr fontId="9" type="noConversion"/>
  <pageMargins left="0.74803149606299213" right="0.74803149606299213" top="0.98425196850393704" bottom="0.98425196850393704" header="0.51181102362204722" footer="0.51181102362204722"/>
  <pageSetup scale="92" orientation="landscape" r:id="rId1"/>
  <headerFooter alignWithMargins="0">
    <oddHeader>&amp;A</oddHeader>
    <oddFooter>&amp;L&amp;F&amp;R&amp;D</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22"/>
  <sheetViews>
    <sheetView showGridLines="0" zoomScale="90" zoomScaleNormal="90" workbookViewId="0"/>
  </sheetViews>
  <sheetFormatPr baseColWidth="10" defaultRowHeight="15"/>
  <cols>
    <col min="1" max="1" width="12.625" style="13" customWidth="1"/>
    <col min="2" max="3" width="8.375" style="143" customWidth="1"/>
    <col min="4" max="7" width="8" style="143" customWidth="1"/>
    <col min="8" max="14" width="8.125" style="13" customWidth="1"/>
    <col min="15" max="15" width="9.375" style="13" customWidth="1"/>
    <col min="16" max="16384" width="11" style="13"/>
  </cols>
  <sheetData>
    <row r="1" spans="1:23">
      <c r="A1" s="10" t="s">
        <v>323</v>
      </c>
    </row>
    <row r="2" spans="1:23" ht="15.75" customHeight="1">
      <c r="A2" s="12" t="s">
        <v>73</v>
      </c>
      <c r="B2" s="13"/>
      <c r="C2" s="13"/>
      <c r="D2" s="13"/>
      <c r="E2" s="13"/>
      <c r="F2" s="12"/>
      <c r="G2" s="13"/>
    </row>
    <row r="3" spans="1:23" ht="15.75" customHeight="1">
      <c r="A3" s="12" t="s">
        <v>71</v>
      </c>
      <c r="B3" s="13"/>
      <c r="C3" s="13"/>
      <c r="D3" s="253"/>
      <c r="E3" s="13"/>
      <c r="F3" s="175"/>
      <c r="G3" s="13"/>
    </row>
    <row r="4" spans="1:23" ht="9" customHeight="1">
      <c r="A4" s="74"/>
      <c r="B4" s="75"/>
      <c r="C4" s="75"/>
      <c r="D4" s="75"/>
      <c r="E4" s="75"/>
      <c r="F4" s="175"/>
      <c r="G4" s="75"/>
    </row>
    <row r="5" spans="1:23" s="144" customFormat="1" ht="30" customHeight="1">
      <c r="A5" s="513" t="s">
        <v>0</v>
      </c>
      <c r="B5" s="502">
        <v>2004</v>
      </c>
      <c r="C5" s="502">
        <v>2005</v>
      </c>
      <c r="D5" s="502">
        <v>2006</v>
      </c>
      <c r="E5" s="502">
        <v>2007</v>
      </c>
      <c r="F5" s="502">
        <v>2008</v>
      </c>
      <c r="G5" s="502">
        <v>2009</v>
      </c>
      <c r="H5" s="502">
        <v>2010</v>
      </c>
      <c r="I5" s="502">
        <v>2011</v>
      </c>
      <c r="J5" s="502">
        <v>2012</v>
      </c>
      <c r="K5" s="502">
        <v>2013</v>
      </c>
      <c r="L5" s="502">
        <v>2014</v>
      </c>
      <c r="M5" s="502">
        <v>2015</v>
      </c>
      <c r="N5" s="502">
        <v>2016</v>
      </c>
      <c r="O5" s="502">
        <v>2017</v>
      </c>
      <c r="P5" s="502">
        <v>2018</v>
      </c>
      <c r="Q5" s="502">
        <v>2019</v>
      </c>
      <c r="R5" s="502">
        <v>2020</v>
      </c>
      <c r="S5" s="502">
        <v>2021</v>
      </c>
      <c r="T5" s="502">
        <v>2022</v>
      </c>
      <c r="U5" s="502">
        <v>2023</v>
      </c>
      <c r="V5" s="502">
        <v>2024</v>
      </c>
      <c r="W5" s="502">
        <v>2025</v>
      </c>
    </row>
    <row r="6" spans="1:23" s="134" customFormat="1" ht="8.1" customHeight="1">
      <c r="A6" s="18"/>
      <c r="B6" s="135"/>
      <c r="C6" s="135"/>
      <c r="D6" s="135"/>
      <c r="E6" s="135"/>
      <c r="F6" s="176"/>
      <c r="G6" s="135"/>
    </row>
    <row r="7" spans="1:23" ht="15.75" hidden="1" customHeight="1">
      <c r="A7" s="9" t="s">
        <v>3</v>
      </c>
      <c r="B7" s="78">
        <v>2.0629289924427625</v>
      </c>
      <c r="C7" s="78">
        <v>1.9392514291031386</v>
      </c>
      <c r="D7" s="78">
        <v>2.1992407540087413</v>
      </c>
      <c r="E7" s="78">
        <v>1.9518315785659779</v>
      </c>
      <c r="F7" s="78">
        <v>2.0083463329904028</v>
      </c>
      <c r="G7" s="78">
        <v>3.669863943072027</v>
      </c>
      <c r="H7" s="80"/>
      <c r="I7" s="80"/>
      <c r="J7" s="80"/>
      <c r="K7" s="80"/>
      <c r="L7" s="80"/>
      <c r="M7" s="80"/>
    </row>
    <row r="8" spans="1:23" ht="15.75" customHeight="1">
      <c r="A8" s="9" t="s">
        <v>4</v>
      </c>
      <c r="B8" s="78">
        <v>7.8852636458753551</v>
      </c>
      <c r="C8" s="78">
        <v>7.0455537035614748</v>
      </c>
      <c r="D8" s="78">
        <v>5.7768806362202083</v>
      </c>
      <c r="E8" s="78">
        <v>6.3902900115670302</v>
      </c>
      <c r="F8" s="78">
        <v>6.6086273062229477</v>
      </c>
      <c r="G8" s="78">
        <v>6.1653054490337205</v>
      </c>
      <c r="H8" s="71" t="s">
        <v>149</v>
      </c>
      <c r="I8" s="44">
        <v>5.3</v>
      </c>
      <c r="J8" s="44">
        <v>6.1</v>
      </c>
      <c r="K8" s="44">
        <v>6.4</v>
      </c>
      <c r="L8" s="44">
        <v>6.2</v>
      </c>
      <c r="M8" s="44">
        <v>6.3</v>
      </c>
      <c r="N8" s="44">
        <v>6.0031788619640549</v>
      </c>
      <c r="O8" s="44">
        <v>6.0992601749289159</v>
      </c>
      <c r="P8" s="44">
        <v>5.781854527143965</v>
      </c>
      <c r="Q8" s="44">
        <v>4.9673176229332272</v>
      </c>
      <c r="R8" s="44">
        <v>5.2855006639129183</v>
      </c>
      <c r="S8" s="44">
        <v>2</v>
      </c>
      <c r="T8" s="44">
        <v>3.8639224869073217</v>
      </c>
      <c r="U8" s="44">
        <v>5.1646880841636147</v>
      </c>
      <c r="V8" s="44">
        <v>5.0780028516795932</v>
      </c>
      <c r="W8" s="44">
        <v>4.3193603494466224</v>
      </c>
    </row>
    <row r="9" spans="1:23" ht="15.75" customHeight="1">
      <c r="A9" s="9" t="s">
        <v>5</v>
      </c>
      <c r="B9" s="78">
        <v>9.5490933545599503</v>
      </c>
      <c r="C9" s="78">
        <v>8.7998202100847003</v>
      </c>
      <c r="D9" s="78">
        <v>9.2984115595622203</v>
      </c>
      <c r="E9" s="78">
        <v>7.9488999290276796</v>
      </c>
      <c r="F9" s="78">
        <v>6.7051502744637297</v>
      </c>
      <c r="G9" s="78">
        <v>6.557558316870586</v>
      </c>
      <c r="H9" s="44">
        <v>6.8678585107116721</v>
      </c>
      <c r="I9" s="44">
        <v>8.1925631862208075</v>
      </c>
      <c r="J9" s="44">
        <v>9.1214244016345596</v>
      </c>
      <c r="K9" s="44">
        <v>9.470975717019412</v>
      </c>
      <c r="L9" s="44">
        <v>8.7482763903784271</v>
      </c>
      <c r="M9" s="44">
        <v>7.6139119076939723</v>
      </c>
      <c r="N9" s="44">
        <v>8.6939390137771859</v>
      </c>
      <c r="O9" s="44">
        <v>7.667360736652272</v>
      </c>
      <c r="P9" s="71" t="s">
        <v>149</v>
      </c>
      <c r="Q9" s="71" t="s">
        <v>149</v>
      </c>
      <c r="R9" s="71" t="s">
        <v>149</v>
      </c>
      <c r="S9" s="44">
        <v>8.3433353931912642</v>
      </c>
      <c r="T9" s="44">
        <v>9.3507263691718503</v>
      </c>
      <c r="U9" s="44">
        <v>6.0087185939558099</v>
      </c>
      <c r="V9" s="44">
        <v>5.5748080893023886</v>
      </c>
      <c r="W9" s="44">
        <v>5.5168210000000002</v>
      </c>
    </row>
    <row r="10" spans="1:23" ht="15.75" customHeight="1">
      <c r="A10" s="9" t="s">
        <v>50</v>
      </c>
      <c r="B10" s="78">
        <v>12.494153605728757</v>
      </c>
      <c r="C10" s="78">
        <v>12.478483381489884</v>
      </c>
      <c r="D10" s="78">
        <v>13.373328828299977</v>
      </c>
      <c r="E10" s="78">
        <v>11.426997941552882</v>
      </c>
      <c r="F10" s="78">
        <v>10.809866366882179</v>
      </c>
      <c r="G10" s="78">
        <v>12.194107731604692</v>
      </c>
      <c r="H10" s="254">
        <v>11.340485878752055</v>
      </c>
      <c r="I10" s="44">
        <v>10.086929894226765</v>
      </c>
      <c r="J10" s="44">
        <v>9.6197089618248164</v>
      </c>
      <c r="K10" s="44">
        <v>9.0869253678403936</v>
      </c>
      <c r="L10" s="44">
        <v>8.6455789234756573</v>
      </c>
      <c r="M10" s="44">
        <v>8.75</v>
      </c>
      <c r="N10" s="44">
        <v>8.1</v>
      </c>
      <c r="O10" s="44">
        <v>7.72</v>
      </c>
      <c r="P10" s="44">
        <v>7.120040304409331</v>
      </c>
      <c r="Q10" s="44">
        <v>7.3755535627887543</v>
      </c>
      <c r="R10" s="44">
        <v>9.1829111659131968</v>
      </c>
      <c r="S10" s="44">
        <v>5.6163010684241259</v>
      </c>
      <c r="T10" s="44">
        <v>4.4014825396825401</v>
      </c>
      <c r="U10" s="44">
        <v>10.169679484029485</v>
      </c>
      <c r="V10" s="44">
        <v>10.843548088064891</v>
      </c>
      <c r="W10" s="44">
        <v>11.675126313472655</v>
      </c>
    </row>
    <row r="11" spans="1:23" ht="15.75" customHeight="1">
      <c r="A11" s="9" t="s">
        <v>6</v>
      </c>
      <c r="B11" s="78">
        <v>8.6228220887888956</v>
      </c>
      <c r="C11" s="78">
        <v>8.7496837966603334</v>
      </c>
      <c r="D11" s="78">
        <v>8.9373548732183394</v>
      </c>
      <c r="E11" s="78">
        <v>6.2584803749657647</v>
      </c>
      <c r="F11" s="78">
        <v>6.9807552096221093</v>
      </c>
      <c r="G11" s="78">
        <v>7.9246520582369069</v>
      </c>
      <c r="H11" s="78">
        <v>5.9448819255213321</v>
      </c>
      <c r="I11" s="44">
        <v>6.139741120997563</v>
      </c>
      <c r="J11" s="44">
        <v>5.5762246550493391</v>
      </c>
      <c r="K11" s="44">
        <v>4.8647234958985246</v>
      </c>
      <c r="L11" s="44">
        <v>5.0686714755224065</v>
      </c>
      <c r="M11" s="44">
        <v>4.6290934252735454</v>
      </c>
      <c r="N11" s="44">
        <v>4.6290934252735454</v>
      </c>
      <c r="O11" s="44">
        <v>4.6518991935158667</v>
      </c>
      <c r="P11" s="44">
        <v>4.0067760314844767</v>
      </c>
      <c r="Q11" s="44">
        <v>4.2930260867865275</v>
      </c>
      <c r="R11" s="44">
        <v>4.5265633191976606</v>
      </c>
      <c r="S11" s="44">
        <v>4.24</v>
      </c>
      <c r="T11" s="71" t="s">
        <v>149</v>
      </c>
      <c r="U11" s="71" t="s">
        <v>149</v>
      </c>
      <c r="V11" s="71" t="s">
        <v>149</v>
      </c>
      <c r="W11" s="71" t="s">
        <v>149</v>
      </c>
    </row>
    <row r="12" spans="1:23" ht="15.75" customHeight="1">
      <c r="A12" s="9" t="s">
        <v>7</v>
      </c>
      <c r="B12" s="78">
        <v>9.6688839175844272</v>
      </c>
      <c r="C12" s="78">
        <v>11.40462244763007</v>
      </c>
      <c r="D12" s="78">
        <v>12.618927579302728</v>
      </c>
      <c r="E12" s="78">
        <v>13.14939423894184</v>
      </c>
      <c r="F12" s="78">
        <v>11.920342404786552</v>
      </c>
      <c r="G12" s="78">
        <v>10.84041805398981</v>
      </c>
      <c r="H12" s="71" t="s">
        <v>149</v>
      </c>
      <c r="I12" s="44">
        <v>8.3924012165026358</v>
      </c>
      <c r="J12" s="44">
        <v>6.7420017264285441</v>
      </c>
      <c r="K12" s="44">
        <v>7.4554171996042351</v>
      </c>
      <c r="L12" s="44">
        <v>7.0230895618921858</v>
      </c>
      <c r="M12" s="44">
        <v>6.0668898684926864</v>
      </c>
      <c r="N12" s="44">
        <v>5.7554584271170111</v>
      </c>
      <c r="O12" s="44">
        <v>5.9113940667020559</v>
      </c>
      <c r="P12" s="44">
        <v>6.0230610961749536</v>
      </c>
      <c r="Q12" s="44">
        <v>5.637801901344341</v>
      </c>
      <c r="R12" s="44">
        <v>5.3261035115098379</v>
      </c>
      <c r="S12" s="44">
        <v>5.5411708466900738</v>
      </c>
      <c r="T12" s="44">
        <v>4.4919914974625836</v>
      </c>
      <c r="U12" s="44">
        <v>3.7231122939691961</v>
      </c>
      <c r="V12" s="674">
        <v>3.3710464547719985</v>
      </c>
      <c r="W12" s="674">
        <v>3.186453682468513</v>
      </c>
    </row>
    <row r="13" spans="1:23" ht="15.75" customHeight="1">
      <c r="A13" s="9" t="s">
        <v>369</v>
      </c>
      <c r="B13" s="71" t="s">
        <v>149</v>
      </c>
      <c r="C13" s="71" t="s">
        <v>149</v>
      </c>
      <c r="D13" s="71" t="s">
        <v>149</v>
      </c>
      <c r="E13" s="71" t="s">
        <v>149</v>
      </c>
      <c r="F13" s="71" t="s">
        <v>149</v>
      </c>
      <c r="G13" s="78">
        <v>3.7110327651650003E-2</v>
      </c>
      <c r="H13" s="71" t="s">
        <v>149</v>
      </c>
      <c r="I13" s="71" t="s">
        <v>149</v>
      </c>
      <c r="J13" s="71" t="s">
        <v>149</v>
      </c>
      <c r="K13" s="71" t="s">
        <v>149</v>
      </c>
      <c r="L13" s="44">
        <v>2.5099999999999998</v>
      </c>
      <c r="M13" s="44">
        <v>2.0299999999999998</v>
      </c>
      <c r="N13" s="44">
        <v>0.81</v>
      </c>
      <c r="O13" s="44">
        <v>3.14</v>
      </c>
      <c r="P13" s="44">
        <v>2.2999999999999998</v>
      </c>
      <c r="Q13" s="44">
        <v>2.4500000000000002</v>
      </c>
      <c r="R13" s="44">
        <v>2.4</v>
      </c>
      <c r="S13" s="44">
        <v>9.9211150365387399E-2</v>
      </c>
      <c r="T13" s="44">
        <v>5.4</v>
      </c>
      <c r="U13" s="44">
        <v>4.99</v>
      </c>
      <c r="V13" s="674">
        <v>3.2</v>
      </c>
      <c r="W13" s="674">
        <v>4.1666666666666696</v>
      </c>
    </row>
    <row r="14" spans="1:23" ht="15.75" customHeight="1">
      <c r="A14" s="9" t="s">
        <v>8</v>
      </c>
      <c r="B14" s="78">
        <v>13.212868272789613</v>
      </c>
      <c r="C14" s="78">
        <v>12.313709163480336</v>
      </c>
      <c r="D14" s="78">
        <v>16.322712107391336</v>
      </c>
      <c r="E14" s="78">
        <v>11.296077277449445</v>
      </c>
      <c r="F14" s="78">
        <v>11.102102088960249</v>
      </c>
      <c r="G14" s="78">
        <v>10.079501321750545</v>
      </c>
      <c r="H14" s="78">
        <v>9.6943962419480254</v>
      </c>
      <c r="I14" s="44">
        <v>9.5862372519810997</v>
      </c>
      <c r="J14" s="44">
        <v>8.8227305021760785</v>
      </c>
      <c r="K14" s="44">
        <v>8.7108512903838839</v>
      </c>
      <c r="L14" s="44">
        <v>6.9818193005147648</v>
      </c>
      <c r="M14" s="44">
        <v>6.4598788118459112</v>
      </c>
      <c r="N14" s="44">
        <v>6.450960602590575</v>
      </c>
      <c r="O14" s="44">
        <v>6.0865086912549966</v>
      </c>
      <c r="P14" s="44">
        <v>4.7892444028706942</v>
      </c>
      <c r="Q14" s="44">
        <v>4.4793037787007499</v>
      </c>
      <c r="R14" s="44">
        <v>5.5681275339699781</v>
      </c>
      <c r="S14" s="44">
        <v>4.2722016881218643</v>
      </c>
      <c r="T14" s="44">
        <v>4.0929228906210753</v>
      </c>
      <c r="U14" s="44">
        <v>3.9364875539625865</v>
      </c>
      <c r="V14" s="44">
        <v>3.8917893641270132</v>
      </c>
      <c r="W14" s="44">
        <v>3.7490265447278279</v>
      </c>
    </row>
    <row r="15" spans="1:23" ht="15.75" customHeight="1">
      <c r="A15" s="9" t="s">
        <v>82</v>
      </c>
      <c r="B15" s="78">
        <v>5.5508339411695156</v>
      </c>
      <c r="C15" s="78">
        <v>3.0847090872646068</v>
      </c>
      <c r="D15" s="78">
        <v>3.064148616431162</v>
      </c>
      <c r="E15" s="78">
        <v>2.3896978007614296</v>
      </c>
      <c r="F15" s="78">
        <v>1.5996071969812236</v>
      </c>
      <c r="G15" s="78">
        <v>4.8380146782918985</v>
      </c>
      <c r="H15" s="71" t="s">
        <v>149</v>
      </c>
      <c r="I15" s="44">
        <v>5.3826706126222046</v>
      </c>
      <c r="J15" s="44">
        <v>5.3837724712612101</v>
      </c>
      <c r="K15" s="44">
        <v>6.0682601456286127</v>
      </c>
      <c r="L15" s="44">
        <v>5.8273192823292259</v>
      </c>
      <c r="M15" s="44">
        <v>5.625428457425004</v>
      </c>
      <c r="N15" s="44">
        <v>8.1625084763201041</v>
      </c>
      <c r="O15" s="44">
        <v>6.1270092433248067</v>
      </c>
      <c r="P15" s="44">
        <v>5.6245828684042438</v>
      </c>
      <c r="Q15" s="71" t="s">
        <v>149</v>
      </c>
      <c r="R15" s="44">
        <v>4.7268895535716737</v>
      </c>
      <c r="S15" s="44">
        <v>96.545280435829099</v>
      </c>
      <c r="T15" s="44">
        <v>3.98892820548439</v>
      </c>
      <c r="U15" s="44">
        <v>5.6112264370090497</v>
      </c>
      <c r="V15" s="44">
        <v>6.1060807435544797</v>
      </c>
      <c r="W15" s="44">
        <v>7.4467003586667504</v>
      </c>
    </row>
    <row r="16" spans="1:23" ht="15.75" customHeight="1">
      <c r="A16" s="9" t="s">
        <v>9</v>
      </c>
      <c r="B16" s="78">
        <v>8.8623510390589466</v>
      </c>
      <c r="C16" s="78">
        <v>8.3460723626810083</v>
      </c>
      <c r="D16" s="78">
        <v>8.0530371801498823</v>
      </c>
      <c r="E16" s="78">
        <v>8.025042516330279</v>
      </c>
      <c r="F16" s="78">
        <v>7.9172749948096834</v>
      </c>
      <c r="G16" s="78">
        <v>10.806680275908167</v>
      </c>
      <c r="H16" s="71" t="s">
        <v>149</v>
      </c>
      <c r="I16" s="71" t="s">
        <v>149</v>
      </c>
      <c r="J16" s="44">
        <v>6.6</v>
      </c>
      <c r="K16" s="44">
        <v>6.0052027288488237</v>
      </c>
      <c r="L16" s="44">
        <v>5.3952870415878564</v>
      </c>
      <c r="M16" s="44">
        <v>5.3120989701410002</v>
      </c>
      <c r="N16" s="44">
        <v>5.0882817258663708</v>
      </c>
      <c r="O16" s="44">
        <v>5.6541979258466082</v>
      </c>
      <c r="P16" s="44">
        <v>5.6760063820330142</v>
      </c>
      <c r="Q16" s="44">
        <v>4.4000000000000004</v>
      </c>
      <c r="R16" s="44">
        <v>5.0508789605468705</v>
      </c>
      <c r="S16" s="44">
        <v>3.9609730989394234</v>
      </c>
      <c r="T16" s="44">
        <v>3.4549348391119548</v>
      </c>
      <c r="U16" s="44">
        <v>4.3073386084017713</v>
      </c>
      <c r="V16" s="44">
        <v>3.709114264559251</v>
      </c>
      <c r="W16" s="44">
        <v>2.673084310926181</v>
      </c>
    </row>
    <row r="17" spans="1:23" ht="8.1" customHeight="1">
      <c r="A17" s="9"/>
      <c r="B17" s="83"/>
      <c r="C17" s="83"/>
      <c r="D17" s="83"/>
      <c r="E17" s="83"/>
      <c r="F17" s="83"/>
      <c r="G17" s="257"/>
    </row>
    <row r="18" spans="1:23" s="11" customFormat="1" ht="15.75" customHeight="1">
      <c r="A18" s="85" t="s">
        <v>10</v>
      </c>
      <c r="B18" s="423">
        <v>10.561711289274896</v>
      </c>
      <c r="C18" s="423">
        <v>10.562838722052021</v>
      </c>
      <c r="D18" s="423">
        <v>10.778597045743217</v>
      </c>
      <c r="E18" s="423">
        <v>10.372908337816218</v>
      </c>
      <c r="F18" s="423">
        <v>9.4332042341200708</v>
      </c>
      <c r="G18" s="423">
        <v>5.0972081329397572</v>
      </c>
      <c r="H18" s="423"/>
      <c r="I18" s="423"/>
      <c r="J18" s="423"/>
      <c r="K18" s="423"/>
      <c r="L18" s="423"/>
      <c r="M18" s="423"/>
      <c r="N18" s="423"/>
      <c r="O18" s="423"/>
      <c r="P18" s="512"/>
      <c r="Q18" s="512"/>
      <c r="R18" s="512"/>
      <c r="S18" s="512"/>
      <c r="T18" s="512"/>
      <c r="U18" s="512"/>
      <c r="V18" s="512"/>
      <c r="W18" s="512"/>
    </row>
    <row r="19" spans="1:23" ht="5.0999999999999996" customHeight="1">
      <c r="A19" s="12"/>
      <c r="B19" s="240"/>
      <c r="C19" s="240"/>
      <c r="D19" s="240"/>
      <c r="E19" s="240"/>
      <c r="F19" s="240"/>
      <c r="G19" s="240"/>
      <c r="H19" s="240"/>
    </row>
    <row r="20" spans="1:23" ht="14.1" customHeight="1">
      <c r="A20" s="29" t="s">
        <v>58</v>
      </c>
      <c r="B20" s="29"/>
      <c r="C20" s="29"/>
      <c r="D20" s="29"/>
      <c r="E20" s="29"/>
      <c r="F20" s="29"/>
      <c r="G20" s="29"/>
      <c r="H20" s="29"/>
    </row>
    <row r="21" spans="1:23" ht="14.1" customHeight="1">
      <c r="A21" s="132"/>
      <c r="B21" s="29"/>
      <c r="C21" s="29"/>
      <c r="D21" s="29"/>
      <c r="E21" s="29"/>
      <c r="F21" s="29"/>
      <c r="G21" s="29"/>
      <c r="H21" s="29"/>
    </row>
    <row r="22" spans="1:23">
      <c r="A22" s="132"/>
    </row>
  </sheetData>
  <phoneticPr fontId="9" type="noConversion"/>
  <pageMargins left="0.74803149606299213" right="0.74803149606299213" top="0.98425196850393704" bottom="0.98425196850393704" header="0.51181102362204722" footer="0.51181102362204722"/>
  <pageSetup orientation="landscape" r:id="rId1"/>
  <headerFooter alignWithMargins="0">
    <oddHeader>&amp;A</oddHeader>
    <oddFooter>&amp;L&amp;F&amp;R&amp;D</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X32"/>
  <sheetViews>
    <sheetView showGridLines="0" zoomScale="90" zoomScaleNormal="90" workbookViewId="0"/>
  </sheetViews>
  <sheetFormatPr baseColWidth="10" defaultRowHeight="15"/>
  <cols>
    <col min="1" max="1" width="12.625" style="13" customWidth="1"/>
    <col min="2" max="15" width="9.625" style="13" customWidth="1"/>
    <col min="16" max="16" width="10.375" style="13" customWidth="1"/>
    <col min="17" max="16384" width="11" style="13"/>
  </cols>
  <sheetData>
    <row r="1" spans="1:24">
      <c r="A1" s="10" t="s">
        <v>324</v>
      </c>
    </row>
    <row r="2" spans="1:24" ht="15.75" customHeight="1">
      <c r="A2" s="12" t="s">
        <v>95</v>
      </c>
    </row>
    <row r="3" spans="1:24" ht="15.75" customHeight="1">
      <c r="A3" s="10" t="s">
        <v>85</v>
      </c>
      <c r="F3" s="175"/>
    </row>
    <row r="4" spans="1:24" ht="9.75" customHeight="1">
      <c r="A4" s="74"/>
      <c r="B4" s="75"/>
      <c r="C4" s="75"/>
      <c r="D4" s="75"/>
      <c r="E4" s="75"/>
      <c r="G4" s="75"/>
    </row>
    <row r="5" spans="1:24" s="144" customFormat="1" ht="36.75" customHeight="1">
      <c r="A5" s="513" t="s">
        <v>0</v>
      </c>
      <c r="B5" s="502">
        <v>2003</v>
      </c>
      <c r="C5" s="502">
        <v>2004</v>
      </c>
      <c r="D5" s="502">
        <v>2005</v>
      </c>
      <c r="E5" s="502">
        <v>2006</v>
      </c>
      <c r="F5" s="502">
        <v>2007</v>
      </c>
      <c r="G5" s="502">
        <v>2008</v>
      </c>
      <c r="H5" s="502">
        <v>2009</v>
      </c>
      <c r="I5" s="502">
        <v>2010</v>
      </c>
      <c r="J5" s="502">
        <v>2011</v>
      </c>
      <c r="K5" s="502">
        <v>2012</v>
      </c>
      <c r="L5" s="502">
        <v>2013</v>
      </c>
      <c r="M5" s="502">
        <v>2014</v>
      </c>
      <c r="N5" s="502">
        <v>2015</v>
      </c>
      <c r="O5" s="502">
        <v>2016</v>
      </c>
      <c r="P5" s="502">
        <v>2017</v>
      </c>
      <c r="Q5" s="502">
        <v>2018</v>
      </c>
      <c r="R5" s="502">
        <v>2019</v>
      </c>
      <c r="S5" s="502">
        <v>2020</v>
      </c>
      <c r="T5" s="502">
        <v>2021</v>
      </c>
      <c r="U5" s="502">
        <v>2022</v>
      </c>
      <c r="V5" s="502">
        <v>2023</v>
      </c>
      <c r="W5" s="502">
        <v>2024</v>
      </c>
      <c r="X5" s="502">
        <v>2025</v>
      </c>
    </row>
    <row r="6" spans="1:24" s="134" customFormat="1" ht="8.1" customHeight="1">
      <c r="A6" s="18"/>
      <c r="B6" s="135"/>
      <c r="C6" s="135"/>
      <c r="D6" s="135"/>
      <c r="E6" s="135"/>
      <c r="F6" s="135"/>
      <c r="G6" s="135"/>
      <c r="H6" s="258"/>
    </row>
    <row r="7" spans="1:24" ht="15.75" hidden="1" customHeight="1">
      <c r="A7" s="9" t="s">
        <v>2</v>
      </c>
      <c r="B7" s="78">
        <v>2.3609939458870839</v>
      </c>
      <c r="C7" s="78">
        <v>1.9950107930177621</v>
      </c>
      <c r="D7" s="78">
        <v>1.7446665722922763</v>
      </c>
      <c r="E7" s="78">
        <v>1.5343737483007636</v>
      </c>
      <c r="F7" s="78">
        <v>1.550902512576509</v>
      </c>
      <c r="G7" s="79"/>
      <c r="H7" s="259"/>
      <c r="I7" s="80"/>
      <c r="J7" s="80"/>
      <c r="K7" s="80"/>
      <c r="L7" s="80"/>
      <c r="M7" s="80"/>
      <c r="N7" s="80"/>
    </row>
    <row r="8" spans="1:24" ht="15.75" hidden="1" customHeight="1">
      <c r="A8" s="9" t="s">
        <v>3</v>
      </c>
      <c r="B8" s="78">
        <v>1.2024714879006759</v>
      </c>
      <c r="C8" s="78">
        <v>1.0726400194707624</v>
      </c>
      <c r="D8" s="78">
        <v>0.69566531633483875</v>
      </c>
      <c r="E8" s="78">
        <v>0.65691335674027584</v>
      </c>
      <c r="F8" s="78">
        <v>0.38337196475388496</v>
      </c>
      <c r="G8" s="78">
        <v>0.47927208742101995</v>
      </c>
      <c r="H8" s="36">
        <v>0.4</v>
      </c>
      <c r="I8" s="80"/>
      <c r="J8" s="80"/>
      <c r="K8" s="80"/>
      <c r="L8" s="80"/>
      <c r="M8" s="80"/>
      <c r="N8" s="80"/>
    </row>
    <row r="9" spans="1:24" ht="15.75" customHeight="1">
      <c r="A9" s="9" t="s">
        <v>4</v>
      </c>
      <c r="B9" s="78">
        <v>1.3613946733495177</v>
      </c>
      <c r="C9" s="78">
        <v>1.2965966623750673</v>
      </c>
      <c r="D9" s="78">
        <v>1.2166145853534296</v>
      </c>
      <c r="E9" s="78">
        <v>1.132116003087736</v>
      </c>
      <c r="F9" s="78">
        <v>1.1296121273199162</v>
      </c>
      <c r="G9" s="78">
        <v>1.8366559260177946</v>
      </c>
      <c r="H9" s="72">
        <v>1.7</v>
      </c>
      <c r="I9" s="71" t="s">
        <v>149</v>
      </c>
      <c r="J9" s="72">
        <v>1.5</v>
      </c>
      <c r="K9" s="72">
        <v>1.3</v>
      </c>
      <c r="L9" s="72">
        <v>1.3</v>
      </c>
      <c r="M9" s="72">
        <v>1.3</v>
      </c>
      <c r="N9" s="72">
        <v>2.5</v>
      </c>
      <c r="O9" s="72">
        <v>2.427113462642903</v>
      </c>
      <c r="P9" s="260">
        <v>2.2325207532415363</v>
      </c>
      <c r="Q9" s="260">
        <v>2.1449488806094914</v>
      </c>
      <c r="R9" s="260">
        <v>1.8860526387089664</v>
      </c>
      <c r="S9" s="260">
        <v>1.9568777126554773</v>
      </c>
      <c r="T9" s="260">
        <v>1.8805551985214699</v>
      </c>
      <c r="U9" s="260">
        <v>1.769932033888699</v>
      </c>
      <c r="V9" s="260">
        <v>1.6102214622618987</v>
      </c>
      <c r="W9" s="260">
        <v>1.5575189770005726</v>
      </c>
      <c r="X9" s="260">
        <v>1.4213437013151382</v>
      </c>
    </row>
    <row r="10" spans="1:24" ht="15.75" customHeight="1">
      <c r="A10" s="9" t="s">
        <v>5</v>
      </c>
      <c r="B10" s="78">
        <v>2.7968581767381644</v>
      </c>
      <c r="C10" s="78">
        <v>2.3286676526846675</v>
      </c>
      <c r="D10" s="78">
        <v>2.0253236674471315</v>
      </c>
      <c r="E10" s="78">
        <v>2.0164437721750419</v>
      </c>
      <c r="F10" s="78">
        <v>1.9268740398825084</v>
      </c>
      <c r="G10" s="78">
        <v>1.9995749466331016</v>
      </c>
      <c r="H10" s="72">
        <v>1.9</v>
      </c>
      <c r="I10" s="72">
        <v>1.8220039316047201</v>
      </c>
      <c r="J10" s="72">
        <v>2.1514813900861447</v>
      </c>
      <c r="K10" s="72">
        <v>2.0701740973829765</v>
      </c>
      <c r="L10" s="72">
        <v>1.9350704122077813</v>
      </c>
      <c r="M10" s="72">
        <v>1.8776599669326661</v>
      </c>
      <c r="N10" s="72">
        <v>1.8776599669326661</v>
      </c>
      <c r="O10" s="72">
        <v>1.8776599669326661</v>
      </c>
      <c r="P10" s="72">
        <v>1.71769394007496</v>
      </c>
      <c r="Q10" s="71" t="s">
        <v>149</v>
      </c>
      <c r="R10" s="71" t="s">
        <v>149</v>
      </c>
      <c r="S10" s="71" t="s">
        <v>149</v>
      </c>
      <c r="T10" s="260">
        <v>1.6312995763272293</v>
      </c>
      <c r="U10" s="260">
        <v>1.5791515134283327</v>
      </c>
      <c r="V10" s="260">
        <v>1.5441665812610079</v>
      </c>
      <c r="W10" s="260">
        <v>1.4846471454082959</v>
      </c>
      <c r="X10" s="260">
        <v>1.4355519999999999</v>
      </c>
    </row>
    <row r="11" spans="1:24" ht="15.75" customHeight="1">
      <c r="A11" s="9" t="s">
        <v>50</v>
      </c>
      <c r="B11" s="78">
        <v>10.319368834262006</v>
      </c>
      <c r="C11" s="78">
        <v>6.5571056934267622</v>
      </c>
      <c r="D11" s="78">
        <v>5.0048554531850007</v>
      </c>
      <c r="E11" s="78">
        <v>4.1634174044504197</v>
      </c>
      <c r="F11" s="78">
        <v>3.404981920918976</v>
      </c>
      <c r="G11" s="78">
        <v>2.8429674936625582</v>
      </c>
      <c r="H11" s="72">
        <v>2.5</v>
      </c>
      <c r="I11" s="260">
        <v>2.5053270788220536</v>
      </c>
      <c r="J11" s="260">
        <v>1.8192244844139061</v>
      </c>
      <c r="K11" s="260">
        <v>1.5801224650385099</v>
      </c>
      <c r="L11" s="260">
        <v>1.5213153524604945</v>
      </c>
      <c r="M11" s="260">
        <v>1.2729228654240248</v>
      </c>
      <c r="N11" s="260">
        <v>1.1000000000000001</v>
      </c>
      <c r="O11" s="260">
        <v>1</v>
      </c>
      <c r="P11" s="260">
        <v>0.87906229371830691</v>
      </c>
      <c r="Q11" s="260">
        <v>0.85068468770031946</v>
      </c>
      <c r="R11" s="260">
        <v>0.88751719245534977</v>
      </c>
      <c r="S11" s="260">
        <v>0.82708937529812654</v>
      </c>
      <c r="T11" s="260">
        <v>0.7798822637852173</v>
      </c>
      <c r="U11" s="260">
        <v>0.82034869748435701</v>
      </c>
      <c r="V11" s="260">
        <v>0.86745082829875908</v>
      </c>
      <c r="W11" s="260">
        <v>0.81943428909049487</v>
      </c>
      <c r="X11" s="260">
        <v>0.79227744251890075</v>
      </c>
    </row>
    <row r="12" spans="1:24" ht="15.75" customHeight="1">
      <c r="A12" s="9" t="s">
        <v>6</v>
      </c>
      <c r="B12" s="78">
        <v>3.025039046466822</v>
      </c>
      <c r="C12" s="78">
        <v>2.49905613304065</v>
      </c>
      <c r="D12" s="78">
        <v>1.4736733712973242</v>
      </c>
      <c r="E12" s="78">
        <v>1.2876994137445568</v>
      </c>
      <c r="F12" s="78">
        <v>1.0932041336948952</v>
      </c>
      <c r="G12" s="78">
        <v>1.230126467200112</v>
      </c>
      <c r="H12" s="72">
        <v>1</v>
      </c>
      <c r="I12" s="72">
        <v>0.95274927560546208</v>
      </c>
      <c r="J12" s="72">
        <v>0.89609477312427332</v>
      </c>
      <c r="K12" s="72">
        <v>0.69874997642966918</v>
      </c>
      <c r="L12" s="72">
        <v>0.64347532964636689</v>
      </c>
      <c r="M12" s="72">
        <v>0.60673160426583495</v>
      </c>
      <c r="N12" s="72">
        <v>0.62979305044392297</v>
      </c>
      <c r="O12" s="72">
        <v>0.6</v>
      </c>
      <c r="P12" s="72">
        <v>0.54940112743215774</v>
      </c>
      <c r="Q12" s="72">
        <v>0.4876077135825555</v>
      </c>
      <c r="R12" s="72">
        <v>0.40413283069533174</v>
      </c>
      <c r="S12" s="72">
        <v>0.33666511311065112</v>
      </c>
      <c r="T12" s="72">
        <v>0.3</v>
      </c>
      <c r="U12" s="71" t="s">
        <v>149</v>
      </c>
      <c r="V12" s="71" t="s">
        <v>149</v>
      </c>
      <c r="W12" s="71" t="s">
        <v>149</v>
      </c>
      <c r="X12" s="71" t="s">
        <v>149</v>
      </c>
    </row>
    <row r="13" spans="1:24" ht="15.75" customHeight="1">
      <c r="A13" s="9" t="s">
        <v>7</v>
      </c>
      <c r="B13" s="78">
        <v>3.1363885287454902</v>
      </c>
      <c r="C13" s="78">
        <v>3.0078826337232414</v>
      </c>
      <c r="D13" s="78">
        <v>2.71048779328614</v>
      </c>
      <c r="E13" s="78">
        <v>2.1369984957259676</v>
      </c>
      <c r="F13" s="78">
        <v>2.6830601743124669</v>
      </c>
      <c r="G13" s="78">
        <v>2.1404131165302451</v>
      </c>
      <c r="H13" s="72">
        <v>2</v>
      </c>
      <c r="I13" s="71" t="s">
        <v>149</v>
      </c>
      <c r="J13" s="82">
        <v>1.8424217849666307</v>
      </c>
      <c r="K13" s="82">
        <v>1.9392215141700055</v>
      </c>
      <c r="L13" s="82">
        <v>2.4929143538354173</v>
      </c>
      <c r="M13" s="82">
        <v>2.2616068893246384</v>
      </c>
      <c r="N13" s="82">
        <v>2.1457408182185485</v>
      </c>
      <c r="O13" s="82">
        <v>2.0501079174808692</v>
      </c>
      <c r="P13" s="82">
        <v>1.8667796049848495</v>
      </c>
      <c r="Q13" s="82">
        <v>1.9654094721989539</v>
      </c>
      <c r="R13" s="82">
        <v>1.7728226548597505</v>
      </c>
      <c r="S13" s="82">
        <v>1.6087328194050006</v>
      </c>
      <c r="T13" s="82">
        <v>1.4759214735701869</v>
      </c>
      <c r="U13" s="82">
        <v>1.3337393616886168</v>
      </c>
      <c r="V13" s="82">
        <v>1.2375283353172482</v>
      </c>
      <c r="W13" s="673">
        <v>1.1504461077698642</v>
      </c>
      <c r="X13" s="673">
        <v>0.99147043329604301</v>
      </c>
    </row>
    <row r="14" spans="1:24" ht="15.75" customHeight="1">
      <c r="A14" s="9" t="s">
        <v>369</v>
      </c>
      <c r="B14" s="71" t="s">
        <v>149</v>
      </c>
      <c r="C14" s="71" t="s">
        <v>149</v>
      </c>
      <c r="D14" s="71" t="s">
        <v>149</v>
      </c>
      <c r="E14" s="71" t="s">
        <v>149</v>
      </c>
      <c r="F14" s="71" t="s">
        <v>149</v>
      </c>
      <c r="G14" s="71" t="s">
        <v>149</v>
      </c>
      <c r="H14" s="72">
        <v>0</v>
      </c>
      <c r="I14" s="71" t="s">
        <v>149</v>
      </c>
      <c r="J14" s="71" t="s">
        <v>149</v>
      </c>
      <c r="K14" s="71" t="s">
        <v>149</v>
      </c>
      <c r="L14" s="71" t="s">
        <v>149</v>
      </c>
      <c r="M14" s="71">
        <v>6</v>
      </c>
      <c r="N14" s="82">
        <v>7</v>
      </c>
      <c r="O14" s="82">
        <v>7</v>
      </c>
      <c r="P14" s="82">
        <v>8</v>
      </c>
      <c r="Q14" s="82">
        <v>9.1</v>
      </c>
      <c r="R14" s="82">
        <v>9.8000000000000007</v>
      </c>
      <c r="S14" s="82">
        <v>11</v>
      </c>
      <c r="T14" s="82">
        <v>11.7744181705934</v>
      </c>
      <c r="U14" s="82">
        <v>13.3</v>
      </c>
      <c r="V14" s="82">
        <v>14.2</v>
      </c>
      <c r="W14" s="673">
        <v>14.73</v>
      </c>
      <c r="X14" s="673">
        <v>12.996291745054799</v>
      </c>
    </row>
    <row r="15" spans="1:24" s="434" customFormat="1" ht="15.75" customHeight="1">
      <c r="A15" s="9" t="s">
        <v>363</v>
      </c>
      <c r="B15" s="71" t="s">
        <v>149</v>
      </c>
      <c r="C15" s="71" t="s">
        <v>149</v>
      </c>
      <c r="D15" s="71" t="s">
        <v>149</v>
      </c>
      <c r="E15" s="71" t="s">
        <v>149</v>
      </c>
      <c r="F15" s="71" t="s">
        <v>149</v>
      </c>
      <c r="G15" s="71" t="s">
        <v>149</v>
      </c>
      <c r="H15" s="71" t="s">
        <v>149</v>
      </c>
      <c r="I15" s="71" t="s">
        <v>149</v>
      </c>
      <c r="J15" s="71" t="s">
        <v>149</v>
      </c>
      <c r="K15" s="71" t="s">
        <v>149</v>
      </c>
      <c r="L15" s="71" t="s">
        <v>149</v>
      </c>
      <c r="M15" s="71" t="s">
        <v>149</v>
      </c>
      <c r="N15" s="71" t="s">
        <v>149</v>
      </c>
      <c r="O15" s="71" t="s">
        <v>149</v>
      </c>
      <c r="P15" s="71" t="s">
        <v>149</v>
      </c>
      <c r="Q15" s="71" t="s">
        <v>149</v>
      </c>
      <c r="R15" s="71" t="s">
        <v>149</v>
      </c>
      <c r="S15" s="71" t="s">
        <v>149</v>
      </c>
      <c r="T15" s="71" t="s">
        <v>149</v>
      </c>
      <c r="U15" s="71" t="s">
        <v>149</v>
      </c>
      <c r="V15" s="71" t="s">
        <v>149</v>
      </c>
      <c r="W15" s="71" t="s">
        <v>149</v>
      </c>
      <c r="X15" s="71" t="s">
        <v>149</v>
      </c>
    </row>
    <row r="16" spans="1:24" ht="15.75" customHeight="1">
      <c r="A16" s="9" t="s">
        <v>8</v>
      </c>
      <c r="B16" s="78">
        <v>1.9651714246378102</v>
      </c>
      <c r="C16" s="78">
        <v>1.7311721758438938</v>
      </c>
      <c r="D16" s="78">
        <v>1.651540032133699</v>
      </c>
      <c r="E16" s="78">
        <v>1.7999711371251115</v>
      </c>
      <c r="F16" s="78">
        <v>1.4691878094489323</v>
      </c>
      <c r="G16" s="78">
        <v>1.7348068686860902</v>
      </c>
      <c r="H16" s="72">
        <v>1.7</v>
      </c>
      <c r="I16" s="72">
        <v>1.5397219926198322</v>
      </c>
      <c r="J16" s="72">
        <v>1.8747150251797291</v>
      </c>
      <c r="K16" s="72">
        <v>1.4596576537214654</v>
      </c>
      <c r="L16" s="72">
        <v>2.4659747753421621</v>
      </c>
      <c r="M16" s="72">
        <v>2.3827114299851018</v>
      </c>
      <c r="N16" s="82">
        <v>2.4</v>
      </c>
      <c r="O16" s="72">
        <v>2.0237597027500778</v>
      </c>
      <c r="P16" s="72">
        <v>1.8335025574903037</v>
      </c>
      <c r="Q16" s="72">
        <v>1.9223912575813986</v>
      </c>
      <c r="R16" s="72">
        <v>1.7330595109404701</v>
      </c>
      <c r="S16" s="72">
        <v>1.9132627760828427</v>
      </c>
      <c r="T16" s="72">
        <v>2.1170212040038043</v>
      </c>
      <c r="U16" s="72">
        <v>2.2347800971374707</v>
      </c>
      <c r="V16" s="72">
        <v>2.0704947210813418</v>
      </c>
      <c r="W16" s="72">
        <v>2.2002286700772395</v>
      </c>
      <c r="X16" s="72">
        <v>1.9338071614903676</v>
      </c>
    </row>
    <row r="17" spans="1:24" ht="15.75" customHeight="1">
      <c r="A17" s="9" t="s">
        <v>82</v>
      </c>
      <c r="B17" s="78">
        <v>69.393841652152844</v>
      </c>
      <c r="C17" s="78">
        <v>15.824562060693975</v>
      </c>
      <c r="D17" s="78">
        <v>6.2798594609652456</v>
      </c>
      <c r="E17" s="78">
        <v>4.3033280525779256</v>
      </c>
      <c r="F17" s="78">
        <v>3.404799038141062</v>
      </c>
      <c r="G17" s="78">
        <v>3.2120730154603967</v>
      </c>
      <c r="H17" s="72">
        <v>4.2</v>
      </c>
      <c r="I17" s="71" t="s">
        <v>149</v>
      </c>
      <c r="J17" s="82">
        <v>4.3663948774254315</v>
      </c>
      <c r="K17" s="82">
        <v>4.3898861797233533</v>
      </c>
      <c r="L17" s="82">
        <v>4.1557664549191333</v>
      </c>
      <c r="M17" s="82">
        <v>3.4040667024599749</v>
      </c>
      <c r="N17" s="82">
        <v>2.992896987135333</v>
      </c>
      <c r="O17" s="82">
        <v>2.9263058725422151</v>
      </c>
      <c r="P17" s="82">
        <v>3.2686494617152775</v>
      </c>
      <c r="Q17" s="82">
        <v>2.8978857586384956</v>
      </c>
      <c r="R17" s="82">
        <v>2.7624950606928116</v>
      </c>
      <c r="S17" s="82">
        <v>2.2861086474621253</v>
      </c>
      <c r="T17" s="82">
        <v>2.1324469418708398</v>
      </c>
      <c r="U17" s="82">
        <v>2.1676000000000002</v>
      </c>
      <c r="V17" s="82">
        <v>2.0565937359844</v>
      </c>
      <c r="W17" s="82">
        <v>1.9645139122449899</v>
      </c>
      <c r="X17" s="82">
        <v>1.8940114309748901</v>
      </c>
    </row>
    <row r="18" spans="1:24" ht="15.75" customHeight="1">
      <c r="A18" s="9" t="s">
        <v>9</v>
      </c>
      <c r="B18" s="78">
        <v>1.3455340310132906</v>
      </c>
      <c r="C18" s="78">
        <v>1.1435134957099093</v>
      </c>
      <c r="D18" s="78">
        <v>1.0306796654991512</v>
      </c>
      <c r="E18" s="78">
        <v>0.96260405894604151</v>
      </c>
      <c r="F18" s="78">
        <v>0.93031889234611187</v>
      </c>
      <c r="G18" s="78">
        <v>1.0899689124888696</v>
      </c>
      <c r="H18" s="72">
        <v>1</v>
      </c>
      <c r="I18" s="71" t="s">
        <v>149</v>
      </c>
      <c r="J18" s="71" t="s">
        <v>149</v>
      </c>
      <c r="K18" s="71">
        <v>0.9</v>
      </c>
      <c r="L18" s="71">
        <v>0.9</v>
      </c>
      <c r="M18" s="71">
        <v>0.9</v>
      </c>
      <c r="N18" s="82">
        <v>0.86455815240383516</v>
      </c>
      <c r="O18" s="82">
        <v>0.80630567712803392</v>
      </c>
      <c r="P18" s="82">
        <v>0.7815156245243926</v>
      </c>
      <c r="Q18" s="82">
        <v>0.81824901526000715</v>
      </c>
      <c r="R18" s="82">
        <v>0.83</v>
      </c>
      <c r="S18" s="82">
        <v>0.74869011250850237</v>
      </c>
      <c r="T18" s="82">
        <v>0.73439199145264367</v>
      </c>
      <c r="U18" s="82">
        <v>0.72086106233158875</v>
      </c>
      <c r="V18" s="82">
        <v>0.62644268178082574</v>
      </c>
      <c r="W18" s="82">
        <v>0.49713810259572966</v>
      </c>
      <c r="X18" s="82">
        <v>0.47987640530319481</v>
      </c>
    </row>
    <row r="19" spans="1:24" ht="8.1" customHeight="1">
      <c r="A19" s="9"/>
      <c r="B19" s="83"/>
      <c r="C19" s="83"/>
      <c r="D19" s="83"/>
      <c r="E19" s="83"/>
      <c r="F19" s="83"/>
      <c r="G19" s="83"/>
      <c r="H19" s="163"/>
    </row>
    <row r="20" spans="1:24" s="11" customFormat="1" ht="15.75" customHeight="1">
      <c r="A20" s="85" t="s">
        <v>10</v>
      </c>
      <c r="B20" s="423">
        <v>2.2065433586452401</v>
      </c>
      <c r="C20" s="423">
        <v>2.0301905668835794</v>
      </c>
      <c r="D20" s="423">
        <v>1.8361308135637324</v>
      </c>
      <c r="E20" s="423">
        <v>1.6120015641432637</v>
      </c>
      <c r="F20" s="423">
        <v>1.7108806678231412</v>
      </c>
      <c r="G20" s="423">
        <v>1.9190279019958061</v>
      </c>
      <c r="H20" s="572">
        <v>1.4</v>
      </c>
      <c r="I20" s="572"/>
      <c r="J20" s="572"/>
      <c r="K20" s="572"/>
      <c r="L20" s="572"/>
      <c r="M20" s="572"/>
      <c r="N20" s="572"/>
      <c r="O20" s="572"/>
      <c r="P20" s="572"/>
      <c r="Q20" s="512"/>
      <c r="R20" s="512"/>
      <c r="S20" s="512"/>
      <c r="T20" s="512"/>
      <c r="U20" s="512"/>
      <c r="V20" s="512"/>
      <c r="W20" s="512"/>
      <c r="X20" s="512"/>
    </row>
    <row r="21" spans="1:24" ht="6.75" customHeight="1">
      <c r="A21" s="9"/>
      <c r="B21" s="87"/>
      <c r="C21" s="87"/>
      <c r="D21" s="87"/>
      <c r="E21" s="87"/>
      <c r="G21" s="87"/>
    </row>
    <row r="22" spans="1:24">
      <c r="A22" s="29" t="s">
        <v>56</v>
      </c>
    </row>
    <row r="23" spans="1:24" ht="15.75" customHeight="1"/>
    <row r="24" spans="1:24" ht="15.75" customHeight="1"/>
    <row r="25" spans="1:24" ht="15.75" customHeight="1"/>
    <row r="26" spans="1:24" ht="15.75" customHeight="1">
      <c r="A26" s="150"/>
    </row>
    <row r="27" spans="1:24" ht="15.75" customHeight="1">
      <c r="A27" s="150"/>
    </row>
    <row r="28" spans="1:24" ht="15.75" customHeight="1">
      <c r="A28" s="150"/>
    </row>
    <row r="29" spans="1:24" ht="15.75" customHeight="1">
      <c r="A29" s="150"/>
    </row>
    <row r="30" spans="1:24" ht="15.75" customHeight="1">
      <c r="A30" s="150"/>
    </row>
    <row r="31" spans="1:24" ht="15.75" customHeight="1"/>
    <row r="32" spans="1:24" ht="15.75" customHeight="1"/>
  </sheetData>
  <phoneticPr fontId="9" type="noConversion"/>
  <pageMargins left="0.74803149606299213" right="0.74803149606299213" top="0.98425196850393704" bottom="0.98425196850393704" header="0.51181102362204722" footer="0.51181102362204722"/>
  <pageSetup scale="83" orientation="landscape" r:id="rId1"/>
  <headerFooter alignWithMargins="0">
    <oddHeader>&amp;A</oddHeader>
    <oddFooter>&amp;L&amp;F&amp;R&amp;D</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X31"/>
  <sheetViews>
    <sheetView showGridLines="0" zoomScale="90" zoomScaleNormal="90" workbookViewId="0"/>
  </sheetViews>
  <sheetFormatPr baseColWidth="10" defaultRowHeight="15"/>
  <cols>
    <col min="1" max="1" width="12.625" style="13" customWidth="1"/>
    <col min="2" max="15" width="9.625" style="13" customWidth="1"/>
    <col min="16" max="16" width="10.875" style="13" customWidth="1"/>
    <col min="17" max="16384" width="11" style="13"/>
  </cols>
  <sheetData>
    <row r="1" spans="1:24">
      <c r="A1" s="10" t="s">
        <v>325</v>
      </c>
    </row>
    <row r="2" spans="1:24" ht="15.75" customHeight="1">
      <c r="A2" s="12" t="s">
        <v>39</v>
      </c>
    </row>
    <row r="3" spans="1:24" ht="15.75" customHeight="1">
      <c r="A3" s="10" t="s">
        <v>32</v>
      </c>
      <c r="B3" s="75"/>
      <c r="C3" s="84"/>
      <c r="D3" s="75"/>
      <c r="E3" s="75"/>
      <c r="G3" s="75"/>
    </row>
    <row r="4" spans="1:24" ht="8.25" customHeight="1">
      <c r="A4" s="74"/>
      <c r="B4" s="75"/>
      <c r="C4" s="75"/>
      <c r="D4" s="75"/>
      <c r="E4" s="75"/>
      <c r="G4" s="75"/>
    </row>
    <row r="5" spans="1:24" s="144" customFormat="1" ht="21.75" customHeight="1">
      <c r="A5" s="513" t="s">
        <v>0</v>
      </c>
      <c r="B5" s="502">
        <v>2003</v>
      </c>
      <c r="C5" s="502">
        <v>2004</v>
      </c>
      <c r="D5" s="502">
        <v>2005</v>
      </c>
      <c r="E5" s="502">
        <v>2006</v>
      </c>
      <c r="F5" s="502">
        <v>2007</v>
      </c>
      <c r="G5" s="502">
        <v>2008</v>
      </c>
      <c r="H5" s="502">
        <v>2009</v>
      </c>
      <c r="I5" s="502">
        <v>2010</v>
      </c>
      <c r="J5" s="502">
        <v>2011</v>
      </c>
      <c r="K5" s="502">
        <v>2012</v>
      </c>
      <c r="L5" s="502">
        <v>2013</v>
      </c>
      <c r="M5" s="502">
        <v>2014</v>
      </c>
      <c r="N5" s="502">
        <v>2015</v>
      </c>
      <c r="O5" s="502">
        <v>2016</v>
      </c>
      <c r="P5" s="502">
        <v>2017</v>
      </c>
      <c r="Q5" s="502">
        <v>2018</v>
      </c>
      <c r="R5" s="502">
        <v>2019</v>
      </c>
      <c r="S5" s="502">
        <v>2020</v>
      </c>
      <c r="T5" s="502">
        <v>2021</v>
      </c>
      <c r="U5" s="502">
        <v>2022</v>
      </c>
      <c r="V5" s="502">
        <v>2023</v>
      </c>
      <c r="W5" s="502">
        <v>2024</v>
      </c>
      <c r="X5" s="502">
        <v>2025</v>
      </c>
    </row>
    <row r="6" spans="1:24" s="134" customFormat="1" ht="5.0999999999999996" customHeight="1">
      <c r="A6" s="18"/>
      <c r="B6" s="135"/>
      <c r="C6" s="135"/>
      <c r="D6" s="135"/>
      <c r="E6" s="135"/>
      <c r="G6" s="135"/>
      <c r="P6" s="76"/>
    </row>
    <row r="7" spans="1:24" ht="15.75" hidden="1" customHeight="1">
      <c r="A7" s="9" t="s">
        <v>2</v>
      </c>
      <c r="B7" s="78">
        <v>40.267582459375916</v>
      </c>
      <c r="C7" s="78">
        <v>36.49088488875212</v>
      </c>
      <c r="D7" s="78">
        <v>37.064742859964589</v>
      </c>
      <c r="E7" s="78">
        <v>39.85470616554295</v>
      </c>
      <c r="F7" s="78">
        <v>43.164038372655391</v>
      </c>
      <c r="G7" s="79"/>
      <c r="H7" s="261"/>
      <c r="I7" s="80"/>
      <c r="J7" s="80"/>
      <c r="K7" s="80"/>
      <c r="L7" s="80"/>
      <c r="M7" s="80"/>
      <c r="N7" s="80"/>
    </row>
    <row r="8" spans="1:24" ht="15.75" hidden="1" customHeight="1">
      <c r="A8" s="9" t="s">
        <v>3</v>
      </c>
      <c r="B8" s="78">
        <v>21.21495641541928</v>
      </c>
      <c r="C8" s="78">
        <v>20.957474168782408</v>
      </c>
      <c r="D8" s="78">
        <v>15.334746204126279</v>
      </c>
      <c r="E8" s="78">
        <v>15.268353824670669</v>
      </c>
      <c r="F8" s="78">
        <v>10.351954126170424</v>
      </c>
      <c r="G8" s="78">
        <v>15.958908779364021</v>
      </c>
      <c r="H8" s="78">
        <v>13.337691009926873</v>
      </c>
      <c r="I8" s="80"/>
      <c r="J8" s="80"/>
      <c r="K8" s="80"/>
      <c r="L8" s="80"/>
      <c r="M8" s="80"/>
      <c r="N8" s="80"/>
    </row>
    <row r="9" spans="1:24" ht="15.75" customHeight="1">
      <c r="A9" s="9" t="s">
        <v>4</v>
      </c>
      <c r="B9" s="78">
        <v>96.92558607377569</v>
      </c>
      <c r="C9" s="78">
        <v>111.33325125287999</v>
      </c>
      <c r="D9" s="78">
        <v>122.99642108053419</v>
      </c>
      <c r="E9" s="78">
        <v>130.59426033941025</v>
      </c>
      <c r="F9" s="78">
        <v>155.93197829730502</v>
      </c>
      <c r="G9" s="78">
        <v>163.01862128910733</v>
      </c>
      <c r="H9" s="78">
        <v>228.76405218237034</v>
      </c>
      <c r="I9" s="71" t="s">
        <v>149</v>
      </c>
      <c r="J9" s="71" t="s">
        <v>149</v>
      </c>
      <c r="K9" s="44">
        <v>225.7</v>
      </c>
      <c r="L9" s="44">
        <v>226.2</v>
      </c>
      <c r="M9" s="44">
        <v>217.9</v>
      </c>
      <c r="N9" s="44">
        <v>384.64005685211004</v>
      </c>
      <c r="O9" s="44">
        <v>416.05843284666497</v>
      </c>
      <c r="P9" s="44">
        <v>450.46185340386893</v>
      </c>
      <c r="Q9" s="44">
        <v>386.9305623174946</v>
      </c>
      <c r="R9" s="44">
        <v>370.93297717629048</v>
      </c>
      <c r="S9" s="44">
        <v>377.33466507946713</v>
      </c>
      <c r="T9" s="44">
        <v>282.63117266181092</v>
      </c>
      <c r="U9" s="44">
        <v>268.74770245823089</v>
      </c>
      <c r="V9" s="44">
        <v>248.41809574460052</v>
      </c>
      <c r="W9" s="44">
        <v>243.48652218269447</v>
      </c>
      <c r="X9" s="44">
        <v>280.81207773556514</v>
      </c>
    </row>
    <row r="10" spans="1:24" ht="15.75" customHeight="1">
      <c r="A10" s="9" t="s">
        <v>5</v>
      </c>
      <c r="B10" s="78">
        <v>39.283420207458533</v>
      </c>
      <c r="C10" s="78">
        <v>44.840307447315418</v>
      </c>
      <c r="D10" s="78">
        <v>50.985554181549666</v>
      </c>
      <c r="E10" s="78">
        <v>55.467370604693905</v>
      </c>
      <c r="F10" s="78">
        <v>60.764424329443308</v>
      </c>
      <c r="G10" s="78">
        <v>60.725686139164516</v>
      </c>
      <c r="H10" s="78">
        <v>83.920747253901098</v>
      </c>
      <c r="I10" s="44">
        <v>101.60164854373534</v>
      </c>
      <c r="J10" s="44">
        <v>114.52197127798908</v>
      </c>
      <c r="K10" s="44">
        <v>132.45755476421402</v>
      </c>
      <c r="L10" s="44">
        <v>113.61863164414049</v>
      </c>
      <c r="M10" s="44">
        <v>96.719474398721943</v>
      </c>
      <c r="N10" s="44">
        <v>71.772420771375351</v>
      </c>
      <c r="O10" s="44">
        <v>79.52564225248571</v>
      </c>
      <c r="P10" s="44">
        <f>0.0000880461345478659*1000000</f>
        <v>88.04613454786589</v>
      </c>
      <c r="Q10" s="71" t="s">
        <v>149</v>
      </c>
      <c r="R10" s="71" t="s">
        <v>149</v>
      </c>
      <c r="S10" s="71" t="s">
        <v>149</v>
      </c>
      <c r="T10" s="82">
        <v>81.740588309147142</v>
      </c>
      <c r="U10" s="82">
        <v>60.550695109450423</v>
      </c>
      <c r="V10" s="82">
        <v>86.088145936209315</v>
      </c>
      <c r="W10" s="82">
        <v>81.045963766502297</v>
      </c>
      <c r="X10" s="82">
        <v>93.81</v>
      </c>
    </row>
    <row r="11" spans="1:24" ht="15.75" customHeight="1">
      <c r="A11" s="9" t="s">
        <v>50</v>
      </c>
      <c r="B11" s="78">
        <v>27.611378192925937</v>
      </c>
      <c r="C11" s="78">
        <v>24.479962114251361</v>
      </c>
      <c r="D11" s="78">
        <v>24.86730169575436</v>
      </c>
      <c r="E11" s="78">
        <v>27.549041744610218</v>
      </c>
      <c r="F11" s="78">
        <v>28.862253147703857</v>
      </c>
      <c r="G11" s="78">
        <v>24.612079592653771</v>
      </c>
      <c r="H11" s="78">
        <v>26.870422795421863</v>
      </c>
      <c r="I11" s="254">
        <v>35.779573246781787</v>
      </c>
      <c r="J11" s="254">
        <v>31.783498683978799</v>
      </c>
      <c r="K11" s="255">
        <v>32.343984100727624</v>
      </c>
      <c r="L11" s="255">
        <v>37.438945127954291</v>
      </c>
      <c r="M11" s="255">
        <v>32.899866069752896</v>
      </c>
      <c r="N11" s="262">
        <v>28.333333333333336</v>
      </c>
      <c r="O11" s="254">
        <v>32.6</v>
      </c>
      <c r="P11" s="254">
        <v>30.325898051942175</v>
      </c>
      <c r="Q11" s="44">
        <v>29.841806701006746</v>
      </c>
      <c r="R11" s="44">
        <v>38.794397443142124</v>
      </c>
      <c r="S11" s="44">
        <v>37.990550435860165</v>
      </c>
      <c r="T11" s="44">
        <v>41.189656023774205</v>
      </c>
      <c r="U11" s="44">
        <v>43.129013416742779</v>
      </c>
      <c r="V11" s="44">
        <v>59.940169403570884</v>
      </c>
      <c r="W11" s="44">
        <v>64.707989899289075</v>
      </c>
      <c r="X11" s="44">
        <v>71.162094268935192</v>
      </c>
    </row>
    <row r="12" spans="1:24" ht="15.75" customHeight="1">
      <c r="A12" s="9" t="s">
        <v>6</v>
      </c>
      <c r="B12" s="78">
        <v>44.267809096941534</v>
      </c>
      <c r="C12" s="78">
        <v>46.022226946293593</v>
      </c>
      <c r="D12" s="78">
        <v>33.349187396558925</v>
      </c>
      <c r="E12" s="78">
        <v>30.028450601541316</v>
      </c>
      <c r="F12" s="78">
        <v>27.396838059781818</v>
      </c>
      <c r="G12" s="78">
        <v>30.264124913259266</v>
      </c>
      <c r="H12" s="78">
        <v>25.482343320429237</v>
      </c>
      <c r="I12" s="78">
        <v>25.60192122364478</v>
      </c>
      <c r="J12" s="78">
        <v>23.141756526663411</v>
      </c>
      <c r="K12" s="78">
        <v>20.243529944595792</v>
      </c>
      <c r="L12" s="78">
        <v>18.788566944609624</v>
      </c>
      <c r="M12" s="78">
        <v>18.353866491514506</v>
      </c>
      <c r="N12" s="78">
        <v>19.231599353558888</v>
      </c>
      <c r="O12" s="78">
        <v>18.322169349274084</v>
      </c>
      <c r="P12" s="78">
        <v>17.87924580202629</v>
      </c>
      <c r="Q12" s="78">
        <v>16.171679909901155</v>
      </c>
      <c r="R12" s="78">
        <v>14.034125900188611</v>
      </c>
      <c r="S12" s="78">
        <v>11.876658803012269</v>
      </c>
      <c r="T12" s="78">
        <v>12</v>
      </c>
      <c r="U12" s="71" t="s">
        <v>149</v>
      </c>
      <c r="V12" s="71" t="s">
        <v>149</v>
      </c>
      <c r="W12" s="71" t="s">
        <v>149</v>
      </c>
      <c r="X12" s="71" t="s">
        <v>149</v>
      </c>
    </row>
    <row r="13" spans="1:24" ht="15.75" customHeight="1">
      <c r="A13" s="9" t="s">
        <v>7</v>
      </c>
      <c r="B13" s="78">
        <v>35.703848887080404</v>
      </c>
      <c r="C13" s="78">
        <v>38.391793611500532</v>
      </c>
      <c r="D13" s="78">
        <v>42.417144392445792</v>
      </c>
      <c r="E13" s="78">
        <v>38.052950779126583</v>
      </c>
      <c r="F13" s="78">
        <v>52.91732199359835</v>
      </c>
      <c r="G13" s="78">
        <v>37.133428097670162</v>
      </c>
      <c r="H13" s="78">
        <v>44.896948118237034</v>
      </c>
      <c r="I13" s="71" t="s">
        <v>149</v>
      </c>
      <c r="J13" s="78">
        <v>48.666924347798549</v>
      </c>
      <c r="K13" s="78">
        <v>58.654867011603002</v>
      </c>
      <c r="L13" s="78">
        <v>76.79915053860887</v>
      </c>
      <c r="M13" s="78">
        <v>69.055994336353649</v>
      </c>
      <c r="N13" s="78">
        <v>58.155685986138536</v>
      </c>
      <c r="O13" s="78">
        <v>47.807805753285663</v>
      </c>
      <c r="P13" s="78">
        <v>49.864248564039805</v>
      </c>
      <c r="Q13" s="78">
        <v>52.693075317489487</v>
      </c>
      <c r="R13" s="78">
        <v>56.90383709111326</v>
      </c>
      <c r="S13" s="78">
        <v>55.841709269931528</v>
      </c>
      <c r="T13" s="78">
        <v>53.604192745587511</v>
      </c>
      <c r="U13" s="78">
        <v>49.376722399392804</v>
      </c>
      <c r="V13" s="78">
        <v>58.584317979083636</v>
      </c>
      <c r="W13" s="674">
        <v>54.631364375599283</v>
      </c>
      <c r="X13" s="674">
        <v>65.500079992494022</v>
      </c>
    </row>
    <row r="14" spans="1:24" ht="15.75" customHeight="1">
      <c r="A14" s="9" t="s">
        <v>369</v>
      </c>
      <c r="B14" s="71" t="s">
        <v>149</v>
      </c>
      <c r="C14" s="71" t="s">
        <v>149</v>
      </c>
      <c r="D14" s="71" t="s">
        <v>149</v>
      </c>
      <c r="E14" s="71" t="s">
        <v>149</v>
      </c>
      <c r="F14" s="71" t="s">
        <v>149</v>
      </c>
      <c r="G14" s="71" t="s">
        <v>149</v>
      </c>
      <c r="H14" s="78">
        <v>355.16537789375406</v>
      </c>
      <c r="I14" s="71" t="s">
        <v>149</v>
      </c>
      <c r="J14" s="71" t="s">
        <v>149</v>
      </c>
      <c r="K14" s="71" t="s">
        <v>149</v>
      </c>
      <c r="L14" s="71" t="s">
        <v>149</v>
      </c>
      <c r="M14" s="71">
        <v>343.89</v>
      </c>
      <c r="N14" s="82">
        <v>342</v>
      </c>
      <c r="O14" s="82">
        <v>499.7</v>
      </c>
      <c r="P14" s="82">
        <v>570.65</v>
      </c>
      <c r="Q14" s="82">
        <v>822</v>
      </c>
      <c r="R14" s="82">
        <v>900.79</v>
      </c>
      <c r="S14" s="82">
        <v>1086.5</v>
      </c>
      <c r="T14" s="82">
        <v>0.123921485667659</v>
      </c>
      <c r="U14" s="82">
        <v>1288</v>
      </c>
      <c r="V14" s="82">
        <v>1333</v>
      </c>
      <c r="W14" s="82">
        <v>1372</v>
      </c>
      <c r="X14" s="82">
        <v>1228.8449673014438</v>
      </c>
    </row>
    <row r="15" spans="1:24" ht="15.75" customHeight="1">
      <c r="A15" s="9" t="s">
        <v>8</v>
      </c>
      <c r="B15" s="78">
        <v>38.850590582505362</v>
      </c>
      <c r="C15" s="78">
        <v>39.853390743023169</v>
      </c>
      <c r="D15" s="78">
        <v>42.673041028478259</v>
      </c>
      <c r="E15" s="78">
        <v>66.11765392635273</v>
      </c>
      <c r="F15" s="78">
        <v>72.206171958852977</v>
      </c>
      <c r="G15" s="78">
        <v>67.358984304624968</v>
      </c>
      <c r="H15" s="78">
        <v>88.22904135871029</v>
      </c>
      <c r="I15" s="78">
        <v>102.12870616337001</v>
      </c>
      <c r="J15" s="78">
        <v>90.413012197054243</v>
      </c>
      <c r="K15" s="78">
        <v>104.16141543933919</v>
      </c>
      <c r="L15" s="78">
        <v>162.73952805542882</v>
      </c>
      <c r="M15" s="78">
        <v>158.44444262768084</v>
      </c>
      <c r="N15" s="78">
        <v>143.59660515370203</v>
      </c>
      <c r="O15" s="78">
        <v>130.151724020117</v>
      </c>
      <c r="P15" s="78">
        <v>131.86257001929803</v>
      </c>
      <c r="Q15" s="78">
        <v>123.63225554063509</v>
      </c>
      <c r="R15" s="78">
        <v>121.23530595212127</v>
      </c>
      <c r="S15" s="78">
        <v>114.94800098458811</v>
      </c>
      <c r="T15" s="78">
        <v>85.071747672200232</v>
      </c>
      <c r="U15" s="78">
        <v>69.663480528718082</v>
      </c>
      <c r="V15" s="78">
        <v>73.933613770057718</v>
      </c>
      <c r="W15" s="78">
        <v>63.962339507908801</v>
      </c>
      <c r="X15" s="78">
        <v>64.342238980103573</v>
      </c>
    </row>
    <row r="16" spans="1:24" ht="15.75" customHeight="1">
      <c r="A16" s="9" t="s">
        <v>82</v>
      </c>
      <c r="B16" s="78">
        <v>28.158914626031869</v>
      </c>
      <c r="C16" s="78">
        <v>29.707254349865341</v>
      </c>
      <c r="D16" s="78">
        <v>18.764323379006616</v>
      </c>
      <c r="E16" s="78">
        <v>19.144931123403662</v>
      </c>
      <c r="F16" s="78">
        <v>19.732411156656614</v>
      </c>
      <c r="G16" s="78">
        <v>23.68622088767118</v>
      </c>
      <c r="H16" s="78">
        <v>38.932169998950172</v>
      </c>
      <c r="I16" s="71" t="s">
        <v>149</v>
      </c>
      <c r="J16" s="82">
        <v>56.246970509272394</v>
      </c>
      <c r="K16" s="82">
        <v>65.757700806327918</v>
      </c>
      <c r="L16" s="82">
        <v>69.40284647938185</v>
      </c>
      <c r="M16" s="82">
        <v>63.479323642388323</v>
      </c>
      <c r="N16" s="82">
        <v>61.936597878768318</v>
      </c>
      <c r="O16" s="82">
        <v>64.929940291447423</v>
      </c>
      <c r="P16" s="82">
        <v>79.9469261662869</v>
      </c>
      <c r="Q16" s="82">
        <v>73.686044804226</v>
      </c>
      <c r="R16" s="82">
        <v>76.100076462693238</v>
      </c>
      <c r="S16" s="82">
        <v>62.485666594950352</v>
      </c>
      <c r="T16" s="82">
        <v>66.657267895694986</v>
      </c>
      <c r="U16" s="82">
        <v>72.617950640000004</v>
      </c>
      <c r="V16" s="82">
        <v>72.228487070841936</v>
      </c>
      <c r="W16" s="82">
        <v>69.336807028726767</v>
      </c>
      <c r="X16" s="82">
        <v>72.254744936776305</v>
      </c>
    </row>
    <row r="17" spans="1:24" ht="15.75" customHeight="1">
      <c r="A17" s="9" t="s">
        <v>9</v>
      </c>
      <c r="B17" s="78">
        <v>26.070698832576092</v>
      </c>
      <c r="C17" s="78">
        <v>29.08745383798232</v>
      </c>
      <c r="D17" s="78">
        <v>32.297200211847134</v>
      </c>
      <c r="E17" s="78">
        <v>34.415742599349031</v>
      </c>
      <c r="F17" s="78">
        <v>40.815237172099472</v>
      </c>
      <c r="G17" s="78">
        <v>37.184361530734002</v>
      </c>
      <c r="H17" s="78">
        <v>55.165458696743968</v>
      </c>
      <c r="I17" s="71" t="s">
        <v>149</v>
      </c>
      <c r="J17" s="71" t="s">
        <v>149</v>
      </c>
      <c r="K17" s="82">
        <v>77.143133710884342</v>
      </c>
      <c r="L17" s="82">
        <v>82.378007924110065</v>
      </c>
      <c r="M17" s="82">
        <v>81.653672768385292</v>
      </c>
      <c r="N17" s="82">
        <v>70.326767208642949</v>
      </c>
      <c r="O17" s="82">
        <v>74.54784411128594</v>
      </c>
      <c r="P17" s="82">
        <v>91.640668490545593</v>
      </c>
      <c r="Q17" s="82">
        <v>89.237951516155576</v>
      </c>
      <c r="R17" s="82">
        <v>86.52</v>
      </c>
      <c r="S17" s="82">
        <v>81.841435629067561</v>
      </c>
      <c r="T17" s="82">
        <v>85.317165041063603</v>
      </c>
      <c r="U17" s="82">
        <v>102.58976401836895</v>
      </c>
      <c r="V17" s="82">
        <v>88.955020618757928</v>
      </c>
      <c r="W17" s="82">
        <v>65.670121398912642</v>
      </c>
      <c r="X17" s="82">
        <v>74.631168465769832</v>
      </c>
    </row>
    <row r="18" spans="1:24" ht="5.0999999999999996" customHeight="1">
      <c r="A18" s="9"/>
      <c r="B18" s="83"/>
      <c r="C18" s="83"/>
      <c r="D18" s="83"/>
      <c r="E18" s="83"/>
      <c r="F18" s="83"/>
      <c r="G18" s="83"/>
      <c r="H18" s="264"/>
      <c r="P18" s="124"/>
    </row>
    <row r="19" spans="1:24" s="11" customFormat="1" ht="15.75" customHeight="1">
      <c r="A19" s="85" t="s">
        <v>10</v>
      </c>
      <c r="B19" s="423">
        <v>43.511344010394581</v>
      </c>
      <c r="C19" s="423">
        <v>46.139832517404564</v>
      </c>
      <c r="D19" s="423">
        <v>49.606202301765734</v>
      </c>
      <c r="E19" s="423">
        <v>50.071037752938409</v>
      </c>
      <c r="F19" s="423">
        <v>61.778136252849457</v>
      </c>
      <c r="G19" s="423">
        <v>56.365238210872782</v>
      </c>
      <c r="H19" s="423">
        <v>73.708271697110504</v>
      </c>
      <c r="I19" s="423"/>
      <c r="J19" s="423"/>
      <c r="K19" s="423"/>
      <c r="L19" s="423"/>
      <c r="M19" s="423"/>
      <c r="N19" s="423"/>
      <c r="O19" s="423"/>
      <c r="P19" s="423"/>
      <c r="Q19" s="512"/>
      <c r="R19" s="512"/>
      <c r="S19" s="512"/>
      <c r="T19" s="512"/>
      <c r="U19" s="512"/>
      <c r="V19" s="512"/>
      <c r="W19" s="512"/>
      <c r="X19" s="512"/>
    </row>
    <row r="20" spans="1:24" ht="6.75" customHeight="1">
      <c r="A20" s="9"/>
      <c r="B20" s="87"/>
      <c r="C20" s="87"/>
      <c r="D20" s="87"/>
      <c r="E20" s="87"/>
      <c r="G20" s="87"/>
    </row>
    <row r="21" spans="1:24">
      <c r="A21" s="29" t="s">
        <v>57</v>
      </c>
    </row>
    <row r="22" spans="1:24" ht="15.75" customHeight="1"/>
    <row r="23" spans="1:24" ht="15.75" customHeight="1"/>
    <row r="24" spans="1:24" ht="15.75" customHeight="1"/>
    <row r="25" spans="1:24" ht="15.75" customHeight="1">
      <c r="A25" s="150"/>
    </row>
    <row r="26" spans="1:24" ht="15.75" customHeight="1">
      <c r="A26" s="150"/>
    </row>
    <row r="27" spans="1:24" ht="15.75" customHeight="1">
      <c r="A27" s="150"/>
    </row>
    <row r="28" spans="1:24" ht="15.75" customHeight="1">
      <c r="A28" s="150"/>
    </row>
    <row r="29" spans="1:24" ht="15.75" customHeight="1">
      <c r="A29" s="150"/>
    </row>
    <row r="30" spans="1:24" ht="15.75" customHeight="1"/>
    <row r="31" spans="1:24" ht="15.75" customHeight="1"/>
  </sheetData>
  <phoneticPr fontId="9" type="noConversion"/>
  <pageMargins left="0.74803149606299213" right="0.74803149606299213" top="0.98425196850393704" bottom="0.98425196850393704" header="0.51181102362204722" footer="0.51181102362204722"/>
  <pageSetup scale="81" orientation="landscape" r:id="rId1"/>
  <headerFooter alignWithMargins="0">
    <oddHeader>&amp;A</oddHeader>
    <oddFooter>&amp;L&amp;F&amp;R&amp;D</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X28"/>
  <sheetViews>
    <sheetView showGridLines="0" zoomScale="90" zoomScaleNormal="90" workbookViewId="0"/>
  </sheetViews>
  <sheetFormatPr baseColWidth="10" defaultRowHeight="15"/>
  <cols>
    <col min="1" max="1" width="12.625" style="13" customWidth="1"/>
    <col min="2" max="7" width="8.125" style="13" customWidth="1"/>
    <col min="8" max="8" width="7.625" style="13" customWidth="1"/>
    <col min="9" max="15" width="8.625" style="13" customWidth="1"/>
    <col min="16" max="16" width="9.5" style="13" customWidth="1"/>
    <col min="17" max="16384" width="11" style="13"/>
  </cols>
  <sheetData>
    <row r="1" spans="1:24">
      <c r="A1" s="10" t="s">
        <v>352</v>
      </c>
    </row>
    <row r="2" spans="1:24" ht="15.75" customHeight="1">
      <c r="A2" s="12" t="s">
        <v>33</v>
      </c>
    </row>
    <row r="3" spans="1:24" ht="15.75" customHeight="1">
      <c r="A3" s="12" t="s">
        <v>72</v>
      </c>
      <c r="F3" s="11"/>
    </row>
    <row r="4" spans="1:24" ht="9.75" customHeight="1">
      <c r="A4" s="74"/>
      <c r="B4" s="75"/>
      <c r="C4" s="75"/>
      <c r="D4" s="75"/>
      <c r="E4" s="75"/>
      <c r="G4" s="75"/>
    </row>
    <row r="5" spans="1:24" s="144" customFormat="1" ht="24.95" customHeight="1">
      <c r="A5" s="513" t="s">
        <v>0</v>
      </c>
      <c r="B5" s="502">
        <v>2003</v>
      </c>
      <c r="C5" s="502">
        <v>2004</v>
      </c>
      <c r="D5" s="502">
        <v>2005</v>
      </c>
      <c r="E5" s="502">
        <v>2006</v>
      </c>
      <c r="F5" s="502">
        <v>2007</v>
      </c>
      <c r="G5" s="502">
        <v>2008</v>
      </c>
      <c r="H5" s="502">
        <v>2009</v>
      </c>
      <c r="I5" s="502">
        <v>2010</v>
      </c>
      <c r="J5" s="502">
        <v>2011</v>
      </c>
      <c r="K5" s="502">
        <v>2012</v>
      </c>
      <c r="L5" s="502">
        <v>2013</v>
      </c>
      <c r="M5" s="502">
        <v>2014</v>
      </c>
      <c r="N5" s="502">
        <v>2015</v>
      </c>
      <c r="O5" s="502">
        <v>2016</v>
      </c>
      <c r="P5" s="502">
        <v>2017</v>
      </c>
      <c r="Q5" s="502">
        <v>2018</v>
      </c>
      <c r="R5" s="502">
        <v>2019</v>
      </c>
      <c r="S5" s="502">
        <v>2020</v>
      </c>
      <c r="T5" s="502">
        <v>2021</v>
      </c>
      <c r="U5" s="502">
        <v>2022</v>
      </c>
      <c r="V5" s="502">
        <v>2023</v>
      </c>
      <c r="W5" s="502">
        <v>2024</v>
      </c>
      <c r="X5" s="502">
        <v>2025</v>
      </c>
    </row>
    <row r="6" spans="1:24" s="134" customFormat="1" ht="5.0999999999999996" customHeight="1">
      <c r="A6" s="18"/>
      <c r="B6" s="135"/>
      <c r="C6" s="135"/>
      <c r="D6" s="135"/>
      <c r="E6" s="135"/>
      <c r="G6" s="135"/>
      <c r="P6" s="76"/>
    </row>
    <row r="7" spans="1:24" ht="15.75" hidden="1" customHeight="1">
      <c r="A7" s="9" t="s">
        <v>2</v>
      </c>
      <c r="B7" s="78">
        <v>-18.171097516110297</v>
      </c>
      <c r="C7" s="78">
        <v>-16.066633443527873</v>
      </c>
      <c r="D7" s="78">
        <v>4.7696054831360852</v>
      </c>
      <c r="E7" s="78">
        <v>18.40691716248309</v>
      </c>
      <c r="F7" s="78">
        <v>7.6173708145641825</v>
      </c>
      <c r="G7" s="79"/>
      <c r="H7" s="80"/>
      <c r="I7" s="80"/>
      <c r="J7" s="80"/>
      <c r="K7" s="80"/>
      <c r="L7" s="80"/>
      <c r="M7" s="80"/>
      <c r="N7" s="80"/>
    </row>
    <row r="8" spans="1:24" ht="15.75" hidden="1" customHeight="1">
      <c r="A8" s="9" t="s">
        <v>3</v>
      </c>
      <c r="B8" s="78">
        <v>64.425649799776565</v>
      </c>
      <c r="C8" s="78">
        <v>64.489051604357883</v>
      </c>
      <c r="D8" s="78">
        <v>61.513691649503158</v>
      </c>
      <c r="E8" s="78">
        <v>60.717781666391382</v>
      </c>
      <c r="F8" s="78">
        <v>21.311380389492324</v>
      </c>
      <c r="G8" s="78">
        <v>39.470207020324658</v>
      </c>
      <c r="H8" s="78">
        <v>28.289115972924666</v>
      </c>
      <c r="I8" s="80"/>
      <c r="J8" s="80"/>
      <c r="K8" s="80"/>
      <c r="L8" s="80"/>
      <c r="M8" s="80"/>
      <c r="N8" s="80"/>
    </row>
    <row r="9" spans="1:24" ht="15.75" customHeight="1">
      <c r="A9" s="9" t="s">
        <v>4</v>
      </c>
      <c r="B9" s="78">
        <v>39.105973485224546</v>
      </c>
      <c r="C9" s="78">
        <v>38.11492274940791</v>
      </c>
      <c r="D9" s="78">
        <v>34.027887153635014</v>
      </c>
      <c r="E9" s="78">
        <v>41.851964821031039</v>
      </c>
      <c r="F9" s="78">
        <v>44.18054126897389</v>
      </c>
      <c r="G9" s="78">
        <v>7.6256235423342309</v>
      </c>
      <c r="H9" s="78">
        <v>53.289301952409495</v>
      </c>
      <c r="I9" s="71" t="s">
        <v>149</v>
      </c>
      <c r="J9" s="44">
        <v>54.7</v>
      </c>
      <c r="K9" s="44">
        <v>57.2</v>
      </c>
      <c r="L9" s="44">
        <v>63</v>
      </c>
      <c r="M9" s="44">
        <v>57.7</v>
      </c>
      <c r="N9" s="44">
        <v>91.721619512052115</v>
      </c>
      <c r="O9" s="44">
        <v>54.250255649385977</v>
      </c>
      <c r="P9" s="44">
        <v>52.417542897541878</v>
      </c>
      <c r="Q9" s="254">
        <v>42.567787361985147</v>
      </c>
      <c r="R9" s="33">
        <v>61.46591909584108</v>
      </c>
      <c r="S9" s="33">
        <v>47.102033835988919</v>
      </c>
      <c r="T9" s="33">
        <v>49.331505796140874</v>
      </c>
      <c r="U9" s="33">
        <v>48.18272209616574</v>
      </c>
      <c r="V9" s="33">
        <v>52.626499635549514</v>
      </c>
      <c r="W9" s="33">
        <v>50.890701679712677</v>
      </c>
      <c r="X9" s="33">
        <v>58.135735976609105</v>
      </c>
    </row>
    <row r="10" spans="1:24" ht="15.75" customHeight="1">
      <c r="A10" s="9" t="s">
        <v>5</v>
      </c>
      <c r="B10" s="78">
        <v>39.480415516702479</v>
      </c>
      <c r="C10" s="78">
        <v>39.631623772803145</v>
      </c>
      <c r="D10" s="78">
        <v>44.209324755788302</v>
      </c>
      <c r="E10" s="78">
        <v>24.876847290640395</v>
      </c>
      <c r="F10" s="78">
        <v>23.673469387755102</v>
      </c>
      <c r="G10" s="78">
        <v>24.453280318091451</v>
      </c>
      <c r="H10" s="78">
        <v>34.153846153846153</v>
      </c>
      <c r="I10" s="44">
        <v>31.0489510489511</v>
      </c>
      <c r="J10" s="44">
        <v>23.823109843081301</v>
      </c>
      <c r="K10" s="44">
        <v>22.8571428571429</v>
      </c>
      <c r="L10" s="44">
        <v>25.1415628539071</v>
      </c>
      <c r="M10" s="44">
        <v>25.187969924811998</v>
      </c>
      <c r="N10" s="44">
        <v>15.008726003490402</v>
      </c>
      <c r="O10" s="254">
        <v>16.64</v>
      </c>
      <c r="P10" s="254">
        <v>23.376623376623375</v>
      </c>
      <c r="Q10" s="71" t="s">
        <v>149</v>
      </c>
      <c r="R10" s="71" t="s">
        <v>149</v>
      </c>
      <c r="S10" s="71" t="s">
        <v>149</v>
      </c>
      <c r="T10" s="82">
        <v>39.09604930750622</v>
      </c>
      <c r="U10" s="82">
        <v>22.949468848811978</v>
      </c>
      <c r="V10" s="82">
        <v>44.106705334210019</v>
      </c>
      <c r="W10" s="82">
        <v>45.729629571471193</v>
      </c>
      <c r="X10" s="82">
        <v>43.01925</v>
      </c>
    </row>
    <row r="11" spans="1:24" ht="15.75" customHeight="1">
      <c r="A11" s="9" t="s">
        <v>50</v>
      </c>
      <c r="B11" s="78">
        <v>-10.746359947764326</v>
      </c>
      <c r="C11" s="78">
        <v>-43.908697121347082</v>
      </c>
      <c r="D11" s="78">
        <v>18.388054268184874</v>
      </c>
      <c r="E11" s="78">
        <v>24.029983051470101</v>
      </c>
      <c r="F11" s="78">
        <v>12.477451482878854</v>
      </c>
      <c r="G11" s="78">
        <v>9.1783522293717663</v>
      </c>
      <c r="H11" s="78">
        <v>11.122557740850155</v>
      </c>
      <c r="I11" s="254">
        <v>14.125949721705373</v>
      </c>
      <c r="J11" s="254">
        <v>12.849386425888785</v>
      </c>
      <c r="K11" s="33">
        <v>18.617774852412811</v>
      </c>
      <c r="L11" s="33">
        <v>29.894859413178171</v>
      </c>
      <c r="M11" s="33">
        <v>17.675678316736505</v>
      </c>
      <c r="N11" s="33">
        <v>13.3</v>
      </c>
      <c r="O11" s="254">
        <v>15.6</v>
      </c>
      <c r="P11" s="254">
        <v>12.131393479844169</v>
      </c>
      <c r="Q11" s="254">
        <v>15.324784547688051</v>
      </c>
      <c r="R11" s="254">
        <v>16.867810794193371</v>
      </c>
      <c r="S11" s="254">
        <v>14.65587044534413</v>
      </c>
      <c r="T11" s="254">
        <v>16.387176325524045</v>
      </c>
      <c r="U11" s="254">
        <v>12.538702801292031</v>
      </c>
      <c r="V11" s="254">
        <v>11.353019090623084</v>
      </c>
      <c r="W11" s="254">
        <v>15.598254816324083</v>
      </c>
      <c r="X11" s="254">
        <v>16.799686254549094</v>
      </c>
    </row>
    <row r="12" spans="1:24" ht="15.75" customHeight="1">
      <c r="A12" s="9" t="s">
        <v>6</v>
      </c>
      <c r="B12" s="78">
        <v>31.293749715595283</v>
      </c>
      <c r="C12" s="78">
        <v>33.846299404417906</v>
      </c>
      <c r="D12" s="78">
        <v>33.130220117792994</v>
      </c>
      <c r="E12" s="78">
        <v>35.551066418857232</v>
      </c>
      <c r="F12" s="78">
        <v>35.170507226840087</v>
      </c>
      <c r="G12" s="78">
        <v>37.258627321701567</v>
      </c>
      <c r="H12" s="78">
        <v>39.517841913642535</v>
      </c>
      <c r="I12" s="82">
        <v>41.234941273858247</v>
      </c>
      <c r="J12" s="82">
        <v>40.766864902508985</v>
      </c>
      <c r="K12" s="82">
        <v>35.073263649372713</v>
      </c>
      <c r="L12" s="82">
        <v>35.28658039345725</v>
      </c>
      <c r="M12" s="82">
        <v>34.65901808246182</v>
      </c>
      <c r="N12" s="33">
        <v>38.866736717637053</v>
      </c>
      <c r="O12" s="33">
        <v>38.619081196422854</v>
      </c>
      <c r="P12" s="33">
        <v>38.155202152325188</v>
      </c>
      <c r="Q12" s="33">
        <v>35.893319124523352</v>
      </c>
      <c r="R12" s="33">
        <v>31.155196704753784</v>
      </c>
      <c r="S12" s="33">
        <v>25.573816060410405</v>
      </c>
      <c r="T12" s="33">
        <v>27.3</v>
      </c>
      <c r="U12" s="71" t="s">
        <v>149</v>
      </c>
      <c r="V12" s="71" t="s">
        <v>149</v>
      </c>
      <c r="W12" s="71" t="s">
        <v>149</v>
      </c>
      <c r="X12" s="71" t="s">
        <v>149</v>
      </c>
    </row>
    <row r="13" spans="1:24" ht="15.75" customHeight="1">
      <c r="A13" s="9" t="s">
        <v>7</v>
      </c>
      <c r="B13" s="78">
        <v>31.798576045222678</v>
      </c>
      <c r="C13" s="78">
        <v>27.710591175290233</v>
      </c>
      <c r="D13" s="78">
        <v>18.012786230791743</v>
      </c>
      <c r="E13" s="78">
        <v>7.8049863831092523</v>
      </c>
      <c r="F13" s="78">
        <v>10.889273173095807</v>
      </c>
      <c r="G13" s="78">
        <v>8.693473513586973</v>
      </c>
      <c r="H13" s="78">
        <v>17.709826444333025</v>
      </c>
      <c r="I13" s="71" t="s">
        <v>149</v>
      </c>
      <c r="J13" s="82">
        <v>30.26028048630976</v>
      </c>
      <c r="K13" s="82">
        <v>43.261167362019279</v>
      </c>
      <c r="L13" s="82">
        <v>33.551940266226076</v>
      </c>
      <c r="M13" s="82">
        <v>35.875624718729902</v>
      </c>
      <c r="N13" s="82">
        <v>33.922818905142563</v>
      </c>
      <c r="O13" s="82">
        <v>34.499746148880824</v>
      </c>
      <c r="P13" s="82">
        <v>36.130365910805509</v>
      </c>
      <c r="Q13" s="82">
        <v>33.391607613163373</v>
      </c>
      <c r="R13" s="82">
        <v>40.301617029067508</v>
      </c>
      <c r="S13" s="82">
        <v>42.063129426615625</v>
      </c>
      <c r="T13" s="82">
        <v>38.148775897206548</v>
      </c>
      <c r="U13" s="82">
        <v>20.784019998498003</v>
      </c>
      <c r="V13" s="82">
        <v>32.485950687687627</v>
      </c>
      <c r="W13" s="673">
        <v>33.929502810158596</v>
      </c>
      <c r="X13" s="673">
        <v>37.047123175376143</v>
      </c>
    </row>
    <row r="14" spans="1:24" ht="15.75" customHeight="1">
      <c r="A14" s="9" t="s">
        <v>369</v>
      </c>
      <c r="B14" s="71" t="s">
        <v>149</v>
      </c>
      <c r="C14" s="71" t="s">
        <v>149</v>
      </c>
      <c r="D14" s="71" t="s">
        <v>149</v>
      </c>
      <c r="E14" s="71" t="s">
        <v>149</v>
      </c>
      <c r="F14" s="71" t="s">
        <v>149</v>
      </c>
      <c r="G14" s="71" t="s">
        <v>149</v>
      </c>
      <c r="H14" s="78">
        <v>25.847574543027651</v>
      </c>
      <c r="I14" s="71" t="s">
        <v>149</v>
      </c>
      <c r="J14" s="71" t="s">
        <v>149</v>
      </c>
      <c r="K14" s="71" t="s">
        <v>149</v>
      </c>
      <c r="L14" s="71" t="s">
        <v>149</v>
      </c>
      <c r="M14" s="97">
        <v>35.299999999999997</v>
      </c>
      <c r="N14" s="97">
        <v>42.2</v>
      </c>
      <c r="O14" s="97">
        <v>46.5</v>
      </c>
      <c r="P14" s="97">
        <v>58.9</v>
      </c>
      <c r="Q14" s="97">
        <v>50.4</v>
      </c>
      <c r="R14" s="97">
        <v>31.8</v>
      </c>
      <c r="S14" s="97">
        <v>36.299999999999997</v>
      </c>
      <c r="T14" s="448">
        <v>52.439024390243901</v>
      </c>
      <c r="U14" s="448">
        <v>3.9</v>
      </c>
      <c r="V14" s="82">
        <v>-26.1</v>
      </c>
      <c r="W14" s="82">
        <v>-35.83</v>
      </c>
      <c r="X14" s="82">
        <v>113.65313653136501</v>
      </c>
    </row>
    <row r="15" spans="1:24" ht="15.75" customHeight="1">
      <c r="A15" s="9" t="s">
        <v>8</v>
      </c>
      <c r="B15" s="78">
        <v>44.784334235239079</v>
      </c>
      <c r="C15" s="78">
        <v>38.900911732291348</v>
      </c>
      <c r="D15" s="78">
        <v>34.859635950922396</v>
      </c>
      <c r="E15" s="78">
        <v>16.458218826552713</v>
      </c>
      <c r="F15" s="78">
        <v>25.711330391108529</v>
      </c>
      <c r="G15" s="78">
        <v>0.58740941396559287</v>
      </c>
      <c r="H15" s="78">
        <v>47.308238881443216</v>
      </c>
      <c r="I15" s="78">
        <v>28.404082942262711</v>
      </c>
      <c r="J15" s="78">
        <v>31.830030674461586</v>
      </c>
      <c r="K15" s="78">
        <v>33.632159458960963</v>
      </c>
      <c r="L15" s="78">
        <v>29.265421966332596</v>
      </c>
      <c r="M15" s="78">
        <v>37.545722532668975</v>
      </c>
      <c r="N15" s="78">
        <v>38.799999999999997</v>
      </c>
      <c r="O15" s="131">
        <v>36.198087336083454</v>
      </c>
      <c r="P15" s="82">
        <v>35.795623077481899</v>
      </c>
      <c r="Q15" s="82">
        <v>37.557916512574238</v>
      </c>
      <c r="R15" s="82">
        <v>38.826599040395521</v>
      </c>
      <c r="S15" s="82">
        <v>37.176209079374225</v>
      </c>
      <c r="T15" s="82">
        <v>46.641402008658901</v>
      </c>
      <c r="U15" s="82">
        <v>40.162327168591169</v>
      </c>
      <c r="V15" s="82">
        <v>42.715594215249133</v>
      </c>
      <c r="W15" s="82">
        <v>41.416563087378037</v>
      </c>
      <c r="X15" s="82">
        <v>35.280846498875754</v>
      </c>
    </row>
    <row r="16" spans="1:24" ht="15.75" customHeight="1">
      <c r="A16" s="9" t="s">
        <v>82</v>
      </c>
      <c r="B16" s="78">
        <v>-308.79045831778996</v>
      </c>
      <c r="C16" s="78">
        <v>-51.18296060421941</v>
      </c>
      <c r="D16" s="78">
        <v>-8.5084458694604965</v>
      </c>
      <c r="E16" s="78">
        <v>45.673547782448772</v>
      </c>
      <c r="F16" s="78">
        <v>22.84016129594162</v>
      </c>
      <c r="G16" s="78">
        <v>42.819055901111149</v>
      </c>
      <c r="H16" s="78">
        <v>62.912351639887</v>
      </c>
      <c r="I16" s="71" t="s">
        <v>149</v>
      </c>
      <c r="J16" s="78">
        <v>67.682544557445596</v>
      </c>
      <c r="K16" s="82">
        <v>73.987596717304299</v>
      </c>
      <c r="L16" s="82">
        <v>64.312631729542957</v>
      </c>
      <c r="M16" s="82">
        <v>62.273612754099261</v>
      </c>
      <c r="N16" s="82">
        <v>60.940646880016978</v>
      </c>
      <c r="O16" s="82">
        <v>60.170620771043239</v>
      </c>
      <c r="P16" s="82">
        <v>73.930044302287456</v>
      </c>
      <c r="Q16" s="82">
        <v>57.296111745755617</v>
      </c>
      <c r="R16" s="82">
        <v>60.51380729662894</v>
      </c>
      <c r="S16" s="82">
        <v>55.819658563822529</v>
      </c>
      <c r="T16" s="82">
        <v>58.856104881350397</v>
      </c>
      <c r="U16" s="82">
        <v>66.841145069561804</v>
      </c>
      <c r="V16" s="82">
        <v>65.434348647189296</v>
      </c>
      <c r="W16" s="82">
        <v>69.663805013464497</v>
      </c>
      <c r="X16" s="82">
        <v>54.4601597991213</v>
      </c>
    </row>
    <row r="17" spans="1:24" ht="15.75" customHeight="1">
      <c r="A17" s="9" t="s">
        <v>9</v>
      </c>
      <c r="B17" s="78">
        <v>41.481862392914756</v>
      </c>
      <c r="C17" s="78">
        <v>48.097469356487252</v>
      </c>
      <c r="D17" s="78">
        <v>44.539341136171082</v>
      </c>
      <c r="E17" s="78">
        <v>46.302119985015281</v>
      </c>
      <c r="F17" s="78">
        <v>41.914169821890944</v>
      </c>
      <c r="G17" s="78">
        <v>32.740112240534181</v>
      </c>
      <c r="H17" s="78">
        <v>36.186113730876087</v>
      </c>
      <c r="I17" s="71" t="s">
        <v>149</v>
      </c>
      <c r="J17" s="71" t="s">
        <v>149</v>
      </c>
      <c r="K17" s="71">
        <v>54.8</v>
      </c>
      <c r="L17" s="71">
        <v>44.9</v>
      </c>
      <c r="M17" s="71">
        <v>55.6</v>
      </c>
      <c r="N17" s="82">
        <v>52.796842122635077</v>
      </c>
      <c r="O17" s="82">
        <v>39.229648554856865</v>
      </c>
      <c r="P17" s="82">
        <v>58.730669826753946</v>
      </c>
      <c r="Q17" s="82">
        <v>50.435988147339074</v>
      </c>
      <c r="R17" s="82">
        <v>54.3</v>
      </c>
      <c r="S17" s="82">
        <v>53.910532627162688</v>
      </c>
      <c r="T17" s="82">
        <v>68.688904691927064</v>
      </c>
      <c r="U17" s="82">
        <v>33.125271710434255</v>
      </c>
      <c r="V17" s="82">
        <v>50.085977758855016</v>
      </c>
      <c r="W17" s="82">
        <v>42.600971077198949</v>
      </c>
      <c r="X17" s="82">
        <v>39.248697388777295</v>
      </c>
    </row>
    <row r="18" spans="1:24" ht="5.0999999999999996" customHeight="1">
      <c r="A18" s="9"/>
      <c r="B18" s="83"/>
      <c r="C18" s="83"/>
      <c r="D18" s="83"/>
      <c r="E18" s="83"/>
      <c r="F18" s="83"/>
      <c r="G18" s="83"/>
      <c r="H18" s="184"/>
      <c r="P18" s="124"/>
    </row>
    <row r="19" spans="1:24" s="11" customFormat="1" ht="15.75" customHeight="1">
      <c r="A19" s="85" t="s">
        <v>10</v>
      </c>
      <c r="B19" s="423"/>
      <c r="C19" s="423"/>
      <c r="D19" s="423"/>
      <c r="E19" s="423"/>
      <c r="F19" s="423"/>
      <c r="G19" s="423"/>
      <c r="H19" s="423"/>
      <c r="I19" s="423"/>
      <c r="J19" s="423"/>
      <c r="K19" s="423"/>
      <c r="L19" s="423"/>
      <c r="M19" s="423"/>
      <c r="N19" s="423"/>
      <c r="O19" s="423"/>
      <c r="P19" s="423"/>
      <c r="Q19" s="512"/>
      <c r="R19" s="512"/>
      <c r="S19" s="512"/>
      <c r="T19" s="512"/>
      <c r="U19" s="512"/>
      <c r="V19" s="512"/>
      <c r="W19" s="512"/>
      <c r="X19" s="512"/>
    </row>
    <row r="20" spans="1:24" ht="6.75" customHeight="1">
      <c r="A20" s="9"/>
      <c r="B20" s="87"/>
      <c r="C20" s="87"/>
      <c r="D20" s="87"/>
      <c r="E20" s="87"/>
      <c r="G20" s="87"/>
    </row>
    <row r="21" spans="1:24">
      <c r="A21" s="29" t="s">
        <v>326</v>
      </c>
    </row>
    <row r="22" spans="1:24" ht="15.75" customHeight="1">
      <c r="A22" s="359" t="s">
        <v>460</v>
      </c>
    </row>
    <row r="23" spans="1:24" ht="15.75" customHeight="1">
      <c r="A23" s="150"/>
    </row>
    <row r="24" spans="1:24" ht="15.75" customHeight="1">
      <c r="A24" s="150"/>
    </row>
    <row r="25" spans="1:24" ht="15.75" customHeight="1">
      <c r="A25" s="150"/>
    </row>
    <row r="26" spans="1:24" ht="15.75" customHeight="1">
      <c r="A26" s="150"/>
    </row>
    <row r="27" spans="1:24" ht="15.75" customHeight="1"/>
    <row r="28" spans="1:24" ht="15.75" customHeight="1"/>
  </sheetData>
  <phoneticPr fontId="9" type="noConversion"/>
  <pageMargins left="0.74803149606299213" right="0.74803149606299213" top="0.98425196850393704" bottom="0.98425196850393704" header="0.51181102362204722" footer="0.51181102362204722"/>
  <pageSetup paperSize="9" orientation="landscape" r:id="rId1"/>
  <headerFooter alignWithMargins="0">
    <oddHeader>&amp;A</oddHeader>
    <oddFooter>&amp;L&amp;F&amp;R&amp;D</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X31"/>
  <sheetViews>
    <sheetView showGridLines="0" zoomScale="90" zoomScaleNormal="90" workbookViewId="0"/>
  </sheetViews>
  <sheetFormatPr baseColWidth="10" defaultRowHeight="15"/>
  <cols>
    <col min="1" max="1" width="12.625" style="13" customWidth="1"/>
    <col min="2" max="7" width="8.125" style="13" customWidth="1"/>
    <col min="8" max="8" width="8" style="13" customWidth="1"/>
    <col min="9" max="15" width="8.625" style="13" customWidth="1"/>
    <col min="16" max="16" width="9.375" style="13" customWidth="1"/>
    <col min="17" max="16384" width="11" style="13"/>
  </cols>
  <sheetData>
    <row r="1" spans="1:24">
      <c r="A1" s="10" t="s">
        <v>327</v>
      </c>
    </row>
    <row r="2" spans="1:24" ht="15.75" customHeight="1">
      <c r="A2" s="12" t="s">
        <v>33</v>
      </c>
    </row>
    <row r="3" spans="1:24" ht="15.75" customHeight="1">
      <c r="A3" s="12" t="s">
        <v>424</v>
      </c>
      <c r="E3" s="11"/>
    </row>
    <row r="4" spans="1:24" ht="7.5" customHeight="1">
      <c r="A4" s="74"/>
      <c r="B4" s="75"/>
      <c r="C4" s="75"/>
      <c r="D4" s="75"/>
      <c r="E4" s="75"/>
      <c r="G4" s="75"/>
    </row>
    <row r="5" spans="1:24" s="144" customFormat="1" ht="24.95" customHeight="1">
      <c r="A5" s="513" t="s">
        <v>0</v>
      </c>
      <c r="B5" s="502">
        <v>2003</v>
      </c>
      <c r="C5" s="502">
        <v>2004</v>
      </c>
      <c r="D5" s="502">
        <v>2005</v>
      </c>
      <c r="E5" s="502">
        <v>2006</v>
      </c>
      <c r="F5" s="502">
        <v>2007</v>
      </c>
      <c r="G5" s="502">
        <v>2008</v>
      </c>
      <c r="H5" s="502">
        <v>2009</v>
      </c>
      <c r="I5" s="502">
        <v>2010</v>
      </c>
      <c r="J5" s="502">
        <v>2011</v>
      </c>
      <c r="K5" s="502">
        <v>2012</v>
      </c>
      <c r="L5" s="502">
        <v>2013</v>
      </c>
      <c r="M5" s="502">
        <v>2014</v>
      </c>
      <c r="N5" s="502">
        <v>2015</v>
      </c>
      <c r="O5" s="502">
        <v>2016</v>
      </c>
      <c r="P5" s="502">
        <v>2017</v>
      </c>
      <c r="Q5" s="502">
        <v>2018</v>
      </c>
      <c r="R5" s="502">
        <v>2019</v>
      </c>
      <c r="S5" s="502">
        <v>2020</v>
      </c>
      <c r="T5" s="502">
        <v>2021</v>
      </c>
      <c r="U5" s="502">
        <v>2022</v>
      </c>
      <c r="V5" s="502">
        <v>2023</v>
      </c>
      <c r="W5" s="502">
        <v>2024</v>
      </c>
      <c r="X5" s="502">
        <v>2025</v>
      </c>
    </row>
    <row r="6" spans="1:24" s="134" customFormat="1" ht="5.0999999999999996" customHeight="1">
      <c r="A6" s="18"/>
      <c r="B6" s="135"/>
      <c r="C6" s="135"/>
      <c r="D6" s="135"/>
      <c r="E6" s="135"/>
      <c r="G6" s="135"/>
      <c r="P6" s="76"/>
    </row>
    <row r="7" spans="1:24" ht="15.75" hidden="1" customHeight="1">
      <c r="A7" s="9" t="s">
        <v>2</v>
      </c>
      <c r="B7" s="78">
        <v>-9.264354493158617</v>
      </c>
      <c r="C7" s="78">
        <v>-10.03858503621017</v>
      </c>
      <c r="D7" s="78">
        <v>3.4447320952534275</v>
      </c>
      <c r="E7" s="78">
        <v>14.487652344073771</v>
      </c>
      <c r="F7" s="78">
        <v>6.6991817999496996</v>
      </c>
      <c r="G7" s="79"/>
      <c r="H7" s="80"/>
      <c r="I7" s="80"/>
      <c r="J7" s="80"/>
      <c r="K7" s="80"/>
      <c r="L7" s="80"/>
      <c r="M7" s="80"/>
      <c r="N7" s="80"/>
    </row>
    <row r="8" spans="1:24" ht="15.75" hidden="1" customHeight="1">
      <c r="A8" s="9" t="s">
        <v>3</v>
      </c>
      <c r="B8" s="78">
        <v>39.244868251772125</v>
      </c>
      <c r="C8" s="78">
        <v>38.823975074192319</v>
      </c>
      <c r="D8" s="78">
        <v>50.706143296876313</v>
      </c>
      <c r="E8" s="78">
        <v>50.822661052552512</v>
      </c>
      <c r="F8" s="78">
        <v>27.877495541987095</v>
      </c>
      <c r="G8" s="78">
        <v>46.861724838955645</v>
      </c>
      <c r="H8" s="78">
        <v>36.239561197169607</v>
      </c>
      <c r="I8" s="80"/>
      <c r="J8" s="80"/>
      <c r="K8" s="80"/>
      <c r="L8" s="80"/>
      <c r="M8" s="80"/>
      <c r="N8" s="80"/>
    </row>
    <row r="9" spans="1:24" ht="15.75" customHeight="1">
      <c r="A9" s="9" t="s">
        <v>4</v>
      </c>
      <c r="B9" s="78">
        <v>21.801261885803434</v>
      </c>
      <c r="C9" s="78">
        <v>21.049980432505166</v>
      </c>
      <c r="D9" s="78">
        <v>19.459379188568697</v>
      </c>
      <c r="E9" s="78">
        <v>25.505079624440373</v>
      </c>
      <c r="F9" s="78">
        <v>27.111340747949797</v>
      </c>
      <c r="G9" s="78">
        <v>2.1433508272658401</v>
      </c>
      <c r="H9" s="78">
        <v>26.442959423353617</v>
      </c>
      <c r="I9" s="71" t="s">
        <v>149</v>
      </c>
      <c r="J9" s="71" t="s">
        <v>149</v>
      </c>
      <c r="K9" s="44">
        <v>27.1</v>
      </c>
      <c r="L9" s="44">
        <v>31.5</v>
      </c>
      <c r="M9" s="44">
        <v>29</v>
      </c>
      <c r="N9" s="44">
        <v>20.984994091608652</v>
      </c>
      <c r="O9" s="44">
        <v>12.498151533600117</v>
      </c>
      <c r="P9" s="44">
        <v>12.018389224550988</v>
      </c>
      <c r="Q9" s="254">
        <v>10.522917946628569</v>
      </c>
      <c r="R9" s="254">
        <v>16.444397808918016</v>
      </c>
      <c r="S9" s="254">
        <v>12.499279935486202</v>
      </c>
      <c r="T9" s="254">
        <v>15.613415779626898</v>
      </c>
      <c r="U9" s="254">
        <v>17.300691865307481</v>
      </c>
      <c r="V9" s="254">
        <v>20.405084226654854</v>
      </c>
      <c r="W9" s="254">
        <v>19.680097983140882</v>
      </c>
      <c r="X9" s="254">
        <v>22.311394963107681</v>
      </c>
    </row>
    <row r="10" spans="1:24" ht="15.75" customHeight="1">
      <c r="A10" s="9" t="s">
        <v>5</v>
      </c>
      <c r="B10" s="78">
        <v>26.009196949112145</v>
      </c>
      <c r="C10" s="78">
        <v>26.55365477667258</v>
      </c>
      <c r="D10" s="78">
        <v>29.197251415672287</v>
      </c>
      <c r="E10" s="78">
        <v>25.974547864763775</v>
      </c>
      <c r="F10" s="78">
        <v>24.428987131766888</v>
      </c>
      <c r="G10" s="78">
        <v>23.639557056362499</v>
      </c>
      <c r="H10" s="78">
        <v>30.261462975878693</v>
      </c>
      <c r="I10" s="44">
        <v>23.569627322136899</v>
      </c>
      <c r="J10" s="44">
        <v>14.5251748432825</v>
      </c>
      <c r="K10" s="44">
        <v>13.3802888563298</v>
      </c>
      <c r="L10" s="44">
        <v>16.644642168873599</v>
      </c>
      <c r="M10" s="44">
        <v>16.5747137198539</v>
      </c>
      <c r="N10" s="44">
        <v>9.0118428861075994</v>
      </c>
      <c r="O10" s="44">
        <v>9.2647361760685936</v>
      </c>
      <c r="P10" s="44">
        <v>12.397164363302398</v>
      </c>
      <c r="Q10" s="71" t="s">
        <v>149</v>
      </c>
      <c r="R10" s="71" t="s">
        <v>149</v>
      </c>
      <c r="S10" s="71" t="s">
        <v>149</v>
      </c>
      <c r="T10" s="78">
        <v>17.72040866240058</v>
      </c>
      <c r="U10" s="78">
        <v>9.6416027064701293</v>
      </c>
      <c r="V10" s="78">
        <v>16.750440801214804</v>
      </c>
      <c r="W10" s="78">
        <v>18.704651596618412</v>
      </c>
      <c r="X10" s="78">
        <v>19.493656000000001</v>
      </c>
    </row>
    <row r="11" spans="1:24" ht="15.75" customHeight="1">
      <c r="A11" s="9" t="s">
        <v>50</v>
      </c>
      <c r="B11" s="78">
        <v>-4.9530291319937829</v>
      </c>
      <c r="C11" s="78">
        <v>-18.906239479463089</v>
      </c>
      <c r="D11" s="78">
        <v>12.776425255990087</v>
      </c>
      <c r="E11" s="78">
        <v>16.313703820027676</v>
      </c>
      <c r="F11" s="78">
        <v>7.4856522325041395</v>
      </c>
      <c r="G11" s="78">
        <v>6.5885331274499279</v>
      </c>
      <c r="H11" s="78">
        <v>10.023203603737759</v>
      </c>
      <c r="I11" s="254">
        <v>9.0976012362206813</v>
      </c>
      <c r="J11" s="254">
        <v>10.285575246319022</v>
      </c>
      <c r="K11" s="254">
        <v>16.028126932593885</v>
      </c>
      <c r="L11" s="254">
        <v>27.919092461485164</v>
      </c>
      <c r="M11" s="254">
        <v>14.283840045727873</v>
      </c>
      <c r="N11" s="254">
        <v>12.5</v>
      </c>
      <c r="O11" s="254">
        <v>14.9</v>
      </c>
      <c r="P11" s="254">
        <v>10.210091710320732</v>
      </c>
      <c r="Q11" s="254">
        <v>13.626034783203611</v>
      </c>
      <c r="R11" s="254">
        <v>13.869030116046943</v>
      </c>
      <c r="S11" s="254">
        <v>10.217329946373129</v>
      </c>
      <c r="T11" s="254">
        <v>11.219924018573236</v>
      </c>
      <c r="U11" s="254">
        <v>8.5856275802000379</v>
      </c>
      <c r="V11" s="254">
        <v>6.7443082208408525</v>
      </c>
      <c r="W11" s="254">
        <v>9.6969021801186734</v>
      </c>
      <c r="X11" s="254">
        <v>10.667445198159871</v>
      </c>
    </row>
    <row r="12" spans="1:24" ht="15.75" customHeight="1">
      <c r="A12" s="9" t="s">
        <v>6</v>
      </c>
      <c r="B12" s="78">
        <v>27.831715502918257</v>
      </c>
      <c r="C12" s="78">
        <v>30.796443305188475</v>
      </c>
      <c r="D12" s="78">
        <v>38.771526546284818</v>
      </c>
      <c r="E12" s="78">
        <v>38.84516749948807</v>
      </c>
      <c r="F12" s="78">
        <v>39.029062065816149</v>
      </c>
      <c r="G12" s="78">
        <v>36.456127429334387</v>
      </c>
      <c r="H12" s="78">
        <v>45.363406934011991</v>
      </c>
      <c r="I12" s="82">
        <v>47.261310865503276</v>
      </c>
      <c r="J12" s="82">
        <v>49.458475081515473</v>
      </c>
      <c r="K12" s="82">
        <v>42.269625972924366</v>
      </c>
      <c r="L12" s="82">
        <v>41.537719245501378</v>
      </c>
      <c r="M12" s="82">
        <v>43.322927790326688</v>
      </c>
      <c r="N12" s="82">
        <v>48.686779075618652</v>
      </c>
      <c r="O12" s="82">
        <v>53.270656545929704</v>
      </c>
      <c r="P12" s="82">
        <v>55.160867050120167</v>
      </c>
      <c r="Q12" s="82">
        <v>52.653248655087779</v>
      </c>
      <c r="R12" s="82">
        <v>47.826299253514435</v>
      </c>
      <c r="S12" s="82">
        <v>39.967304393789696</v>
      </c>
      <c r="T12" s="82">
        <v>42.74</v>
      </c>
      <c r="U12" s="71" t="s">
        <v>149</v>
      </c>
      <c r="V12" s="71" t="s">
        <v>149</v>
      </c>
      <c r="W12" s="71" t="s">
        <v>149</v>
      </c>
      <c r="X12" s="71" t="s">
        <v>149</v>
      </c>
    </row>
    <row r="13" spans="1:24" ht="15.75" customHeight="1">
      <c r="A13" s="9" t="s">
        <v>7</v>
      </c>
      <c r="B13" s="78">
        <v>30.729539606938761</v>
      </c>
      <c r="C13" s="78">
        <v>25.231154578775776</v>
      </c>
      <c r="D13" s="78">
        <v>15.536664707512537</v>
      </c>
      <c r="E13" s="78">
        <v>6.8991564661260938</v>
      </c>
      <c r="F13" s="78">
        <v>7.1061866469924544</v>
      </c>
      <c r="G13" s="78">
        <v>6.516984311213105</v>
      </c>
      <c r="H13" s="78">
        <v>13.026579638913233</v>
      </c>
      <c r="I13" s="71" t="s">
        <v>149</v>
      </c>
      <c r="J13" s="82">
        <v>21.889901677483373</v>
      </c>
      <c r="K13" s="82">
        <v>26.772615345871799</v>
      </c>
      <c r="L13" s="82">
        <v>15.628575973186912</v>
      </c>
      <c r="M13" s="82">
        <v>16.666495358543479</v>
      </c>
      <c r="N13" s="82">
        <v>16.319419733719698</v>
      </c>
      <c r="O13" s="82">
        <v>16.514819370601476</v>
      </c>
      <c r="P13" s="82">
        <v>17.918287125154638</v>
      </c>
      <c r="Q13" s="82">
        <v>16.480207193564027</v>
      </c>
      <c r="R13" s="82">
        <v>19.460132798870074</v>
      </c>
      <c r="S13" s="82">
        <v>20.372036246314007</v>
      </c>
      <c r="T13" s="82">
        <v>18.790283182365645</v>
      </c>
      <c r="U13" s="82">
        <v>8.1676629780356969</v>
      </c>
      <c r="V13" s="82">
        <v>12.966962334082558</v>
      </c>
      <c r="W13" s="674">
        <v>14.671456135996245</v>
      </c>
      <c r="X13" s="674">
        <v>17.450083414800339</v>
      </c>
    </row>
    <row r="14" spans="1:24" ht="15.75" customHeight="1">
      <c r="A14" s="9" t="s">
        <v>369</v>
      </c>
      <c r="B14" s="71" t="s">
        <v>149</v>
      </c>
      <c r="C14" s="71" t="s">
        <v>149</v>
      </c>
      <c r="D14" s="71" t="s">
        <v>149</v>
      </c>
      <c r="E14" s="71" t="s">
        <v>149</v>
      </c>
      <c r="F14" s="71" t="s">
        <v>149</v>
      </c>
      <c r="G14" s="71" t="s">
        <v>149</v>
      </c>
      <c r="H14" s="78">
        <v>14.384090498990505</v>
      </c>
      <c r="I14" s="71" t="s">
        <v>149</v>
      </c>
      <c r="J14" s="71" t="s">
        <v>149</v>
      </c>
      <c r="K14" s="71" t="s">
        <v>149</v>
      </c>
      <c r="L14" s="71" t="s">
        <v>149</v>
      </c>
      <c r="M14" s="82">
        <v>1.8</v>
      </c>
      <c r="N14" s="71">
        <v>2</v>
      </c>
      <c r="O14" s="71">
        <v>4.3</v>
      </c>
      <c r="P14" s="71">
        <v>2.4</v>
      </c>
      <c r="Q14" s="71">
        <v>1.8</v>
      </c>
      <c r="R14" s="71">
        <v>0.9</v>
      </c>
      <c r="S14" s="71">
        <v>0.97</v>
      </c>
      <c r="T14" s="82">
        <v>0.52432630167052796</v>
      </c>
      <c r="U14" s="82">
        <v>0.1</v>
      </c>
      <c r="V14" s="82">
        <v>-0.5</v>
      </c>
      <c r="W14" s="82">
        <v>-0.73</v>
      </c>
      <c r="X14" s="82">
        <v>2.57719019328926</v>
      </c>
    </row>
    <row r="15" spans="1:24" ht="15.75" customHeight="1">
      <c r="A15" s="9" t="s">
        <v>8</v>
      </c>
      <c r="B15" s="78">
        <v>44.784334235239079</v>
      </c>
      <c r="C15" s="78">
        <v>38.900911732291348</v>
      </c>
      <c r="D15" s="78">
        <v>41.093336891100385</v>
      </c>
      <c r="E15" s="78">
        <v>10.789096216147046</v>
      </c>
      <c r="F15" s="78">
        <v>17.760273455636145</v>
      </c>
      <c r="G15" s="78">
        <v>0.51696178763902556</v>
      </c>
      <c r="H15" s="78">
        <v>31.893160170242162</v>
      </c>
      <c r="I15" s="78">
        <v>18.062361922058251</v>
      </c>
      <c r="J15" s="78">
        <v>25.845193083494621</v>
      </c>
      <c r="K15" s="78">
        <v>26.776091466434515</v>
      </c>
      <c r="L15" s="78">
        <v>13.795210199305014</v>
      </c>
      <c r="M15" s="78">
        <v>15.876211807664731</v>
      </c>
      <c r="N15" s="78">
        <v>17.2</v>
      </c>
      <c r="O15" s="78">
        <v>16.271703079218934</v>
      </c>
      <c r="P15" s="78">
        <v>15.413664853684486</v>
      </c>
      <c r="Q15" s="78">
        <v>17.102133472049577</v>
      </c>
      <c r="R15" s="78">
        <v>16.69974297077388</v>
      </c>
      <c r="S15" s="78">
        <v>13.255554548523781</v>
      </c>
      <c r="T15" s="78">
        <v>20.332648953904044</v>
      </c>
      <c r="U15" s="78">
        <v>20.027613705252239</v>
      </c>
      <c r="V15" s="78">
        <v>18.932945818193257</v>
      </c>
      <c r="W15" s="78">
        <v>20.901991996595619</v>
      </c>
      <c r="X15" s="78">
        <v>18.551742715035129</v>
      </c>
    </row>
    <row r="16" spans="1:24" ht="15.75" customHeight="1">
      <c r="A16" s="9" t="s">
        <v>82</v>
      </c>
      <c r="B16" s="78">
        <v>-308.79045831778996</v>
      </c>
      <c r="C16" s="78">
        <v>-51.18296060421941</v>
      </c>
      <c r="D16" s="78">
        <v>-5.7891346799733157</v>
      </c>
      <c r="E16" s="78">
        <v>31.930675339658109</v>
      </c>
      <c r="F16" s="78">
        <v>15.822013118448666</v>
      </c>
      <c r="G16" s="78">
        <v>32.709654222367298</v>
      </c>
      <c r="H16" s="78">
        <v>49.915789226736543</v>
      </c>
      <c r="I16" s="71" t="s">
        <v>149</v>
      </c>
      <c r="J16" s="82">
        <v>42.445238055105186</v>
      </c>
      <c r="K16" s="82">
        <v>56.163456862529607</v>
      </c>
      <c r="L16" s="82">
        <v>53.379295277428604</v>
      </c>
      <c r="M16" s="82">
        <v>41.28070881402806</v>
      </c>
      <c r="N16" s="82">
        <v>35.958154542863831</v>
      </c>
      <c r="O16" s="82">
        <v>43.03659049513427</v>
      </c>
      <c r="P16" s="82">
        <v>41.651490964089142</v>
      </c>
      <c r="Q16" s="82">
        <v>20.084881849701077</v>
      </c>
      <c r="R16" s="78">
        <v>38.448439470125294</v>
      </c>
      <c r="S16" s="78">
        <v>29.716261540267524</v>
      </c>
      <c r="T16" s="78">
        <v>15.859155916271099</v>
      </c>
      <c r="U16" s="78">
        <v>32.577306207494303</v>
      </c>
      <c r="V16" s="78">
        <v>32.433870904192901</v>
      </c>
      <c r="W16" s="78">
        <v>34.188759921568298</v>
      </c>
      <c r="X16" s="78">
        <v>31.119614029093501</v>
      </c>
    </row>
    <row r="17" spans="1:24" ht="15.75" customHeight="1">
      <c r="A17" s="9" t="s">
        <v>9</v>
      </c>
      <c r="B17" s="78">
        <v>31.877331574824115</v>
      </c>
      <c r="C17" s="78">
        <v>39.01698208311381</v>
      </c>
      <c r="D17" s="78">
        <v>39.644673707685506</v>
      </c>
      <c r="E17" s="78">
        <v>45.024879106618165</v>
      </c>
      <c r="F17" s="78">
        <v>39.61742576945479</v>
      </c>
      <c r="G17" s="78">
        <v>42.215260559235077</v>
      </c>
      <c r="H17" s="78">
        <v>32.748530783680323</v>
      </c>
      <c r="I17" s="71" t="s">
        <v>149</v>
      </c>
      <c r="J17" s="71" t="s">
        <v>149</v>
      </c>
      <c r="K17" s="71">
        <v>53</v>
      </c>
      <c r="L17" s="71">
        <v>46.3</v>
      </c>
      <c r="M17" s="71">
        <v>48.8</v>
      </c>
      <c r="N17" s="82">
        <v>44.697145633190324</v>
      </c>
      <c r="O17" s="82">
        <v>41.691952989972116</v>
      </c>
      <c r="P17" s="82">
        <v>45.313598124862082</v>
      </c>
      <c r="Q17" s="82">
        <v>38.182071088097942</v>
      </c>
      <c r="R17" s="82">
        <v>32.520000000000003</v>
      </c>
      <c r="S17" s="82">
        <v>24.463596839160047</v>
      </c>
      <c r="T17" s="82">
        <v>21.885905991028189</v>
      </c>
      <c r="U17" s="82">
        <v>15.441261677995879</v>
      </c>
      <c r="V17" s="82">
        <v>27.049630131003205</v>
      </c>
      <c r="W17" s="82">
        <v>27.840066845052068</v>
      </c>
      <c r="X17" s="82">
        <v>24.874897401764269</v>
      </c>
    </row>
    <row r="18" spans="1:24" ht="5.0999999999999996" customHeight="1">
      <c r="A18" s="9"/>
      <c r="B18" s="83"/>
      <c r="C18" s="83"/>
      <c r="D18" s="83"/>
      <c r="E18" s="83"/>
      <c r="F18" s="83"/>
      <c r="G18" s="83"/>
      <c r="H18" s="184"/>
      <c r="P18" s="124"/>
    </row>
    <row r="19" spans="1:24" s="11" customFormat="1" ht="15.75" customHeight="1">
      <c r="A19" s="85" t="s">
        <v>10</v>
      </c>
      <c r="B19" s="423"/>
      <c r="C19" s="423"/>
      <c r="D19" s="423"/>
      <c r="E19" s="423"/>
      <c r="F19" s="423"/>
      <c r="G19" s="423"/>
      <c r="H19" s="423"/>
      <c r="I19" s="423"/>
      <c r="J19" s="423"/>
      <c r="K19" s="423"/>
      <c r="L19" s="423"/>
      <c r="M19" s="423"/>
      <c r="N19" s="423"/>
      <c r="O19" s="423"/>
      <c r="P19" s="423"/>
      <c r="Q19" s="512"/>
      <c r="R19" s="512"/>
      <c r="S19" s="512"/>
      <c r="T19" s="512"/>
      <c r="U19" s="512"/>
      <c r="V19" s="512"/>
      <c r="W19" s="512"/>
      <c r="X19" s="512"/>
    </row>
    <row r="20" spans="1:24" ht="6.75" customHeight="1">
      <c r="A20" s="9"/>
      <c r="B20" s="87"/>
      <c r="C20" s="87"/>
      <c r="D20" s="87"/>
      <c r="E20" s="87"/>
      <c r="G20" s="87"/>
    </row>
    <row r="21" spans="1:24">
      <c r="A21" s="29" t="s">
        <v>54</v>
      </c>
    </row>
    <row r="22" spans="1:24" ht="15.75" customHeight="1">
      <c r="A22" s="217" t="s">
        <v>460</v>
      </c>
    </row>
    <row r="23" spans="1:24" ht="15.75" customHeight="1">
      <c r="B23" s="133"/>
      <c r="C23" s="133"/>
      <c r="D23" s="133"/>
      <c r="E23" s="133"/>
      <c r="G23" s="133"/>
    </row>
    <row r="24" spans="1:24" ht="15.75" customHeight="1"/>
    <row r="25" spans="1:24" ht="15.75" customHeight="1">
      <c r="A25" s="150"/>
    </row>
    <row r="26" spans="1:24" ht="15.75" customHeight="1">
      <c r="A26" s="150"/>
    </row>
    <row r="27" spans="1:24" ht="15.75" customHeight="1">
      <c r="A27" s="150"/>
    </row>
    <row r="28" spans="1:24" ht="15.75" customHeight="1">
      <c r="A28" s="150"/>
    </row>
    <row r="29" spans="1:24" ht="15.75" customHeight="1">
      <c r="A29" s="150"/>
    </row>
    <row r="30" spans="1:24" ht="15.75" customHeight="1"/>
    <row r="31" spans="1:24" ht="15.75" customHeight="1"/>
  </sheetData>
  <phoneticPr fontId="9" type="noConversion"/>
  <pageMargins left="0.74803149606299213" right="0.74803149606299213" top="0.98425196850393704" bottom="0.98425196850393704" header="0.51181102362204722" footer="0.51181102362204722"/>
  <pageSetup scale="92" orientation="landscape" r:id="rId1"/>
  <headerFooter alignWithMargins="0">
    <oddHeader>&amp;A</oddHeader>
    <oddFooter>&amp;L&amp;F&amp;R&amp;D</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X23"/>
  <sheetViews>
    <sheetView showGridLines="0" zoomScale="90" zoomScaleNormal="90" workbookViewId="0"/>
  </sheetViews>
  <sheetFormatPr baseColWidth="10" defaultRowHeight="15"/>
  <cols>
    <col min="1" max="1" width="12.625" style="13" customWidth="1"/>
    <col min="2" max="7" width="8.125" style="143" customWidth="1"/>
    <col min="8" max="8" width="8.125" style="13" customWidth="1"/>
    <col min="9" max="15" width="8.625" style="13" customWidth="1"/>
    <col min="16" max="16" width="9.5" style="13" customWidth="1"/>
    <col min="17" max="16384" width="11" style="13"/>
  </cols>
  <sheetData>
    <row r="1" spans="1:24">
      <c r="A1" s="10" t="s">
        <v>328</v>
      </c>
    </row>
    <row r="2" spans="1:24" ht="15.75" customHeight="1">
      <c r="A2" s="12" t="s">
        <v>86</v>
      </c>
      <c r="B2" s="13"/>
      <c r="C2" s="13"/>
      <c r="D2" s="13"/>
      <c r="E2" s="11"/>
      <c r="F2" s="13"/>
      <c r="G2" s="13"/>
    </row>
    <row r="3" spans="1:24" ht="15.75" customHeight="1">
      <c r="A3" s="10" t="s">
        <v>32</v>
      </c>
      <c r="B3" s="13"/>
      <c r="C3" s="13"/>
      <c r="D3" s="13"/>
      <c r="E3" s="13"/>
      <c r="F3" s="13"/>
      <c r="G3" s="13"/>
    </row>
    <row r="4" spans="1:24" ht="7.5" customHeight="1">
      <c r="A4" s="74"/>
      <c r="B4" s="75"/>
      <c r="C4" s="75"/>
      <c r="D4" s="75"/>
      <c r="E4" s="75"/>
      <c r="F4" s="75"/>
      <c r="G4" s="75"/>
    </row>
    <row r="5" spans="1:24" s="144" customFormat="1" ht="32.25" customHeight="1">
      <c r="A5" s="513" t="s">
        <v>0</v>
      </c>
      <c r="B5" s="502">
        <v>2003</v>
      </c>
      <c r="C5" s="502">
        <v>2004</v>
      </c>
      <c r="D5" s="502">
        <v>2005</v>
      </c>
      <c r="E5" s="502">
        <v>2006</v>
      </c>
      <c r="F5" s="502">
        <v>2007</v>
      </c>
      <c r="G5" s="502">
        <v>2008</v>
      </c>
      <c r="H5" s="502">
        <v>2009</v>
      </c>
      <c r="I5" s="502">
        <v>2010</v>
      </c>
      <c r="J5" s="502">
        <v>2011</v>
      </c>
      <c r="K5" s="502">
        <v>2012</v>
      </c>
      <c r="L5" s="502">
        <v>2013</v>
      </c>
      <c r="M5" s="502">
        <v>2014</v>
      </c>
      <c r="N5" s="502">
        <v>2015</v>
      </c>
      <c r="O5" s="502">
        <v>2016</v>
      </c>
      <c r="P5" s="502">
        <v>2017</v>
      </c>
      <c r="Q5" s="502">
        <v>2018</v>
      </c>
      <c r="R5" s="502">
        <v>2019</v>
      </c>
      <c r="S5" s="502">
        <v>2020</v>
      </c>
      <c r="T5" s="502">
        <v>2021</v>
      </c>
      <c r="U5" s="502">
        <v>2022</v>
      </c>
      <c r="V5" s="502">
        <v>2023</v>
      </c>
      <c r="W5" s="502">
        <v>2024</v>
      </c>
      <c r="X5" s="502">
        <v>2025</v>
      </c>
    </row>
    <row r="6" spans="1:24" s="134" customFormat="1" ht="5.0999999999999996" customHeight="1">
      <c r="A6" s="18"/>
      <c r="B6" s="135"/>
      <c r="C6" s="135"/>
      <c r="D6" s="135"/>
      <c r="E6" s="135"/>
      <c r="F6" s="135"/>
      <c r="G6" s="135"/>
      <c r="P6" s="76"/>
    </row>
    <row r="7" spans="1:24" ht="15.75" hidden="1" customHeight="1">
      <c r="A7" s="9" t="s">
        <v>2</v>
      </c>
      <c r="B7" s="78">
        <v>22.427012576994272</v>
      </c>
      <c r="C7" s="78">
        <v>27.820338365871034</v>
      </c>
      <c r="D7" s="78">
        <v>26.227928839818595</v>
      </c>
      <c r="E7" s="78">
        <v>26.95425633629041</v>
      </c>
      <c r="F7" s="78">
        <v>35.369306571198265</v>
      </c>
      <c r="G7" s="79"/>
      <c r="H7" s="80"/>
      <c r="I7" s="80"/>
      <c r="J7" s="80"/>
      <c r="K7" s="80"/>
      <c r="L7" s="80"/>
      <c r="M7" s="80"/>
      <c r="N7" s="80"/>
    </row>
    <row r="8" spans="1:24" ht="15.75" hidden="1" customHeight="1">
      <c r="A8" s="9" t="s">
        <v>3</v>
      </c>
      <c r="B8" s="78">
        <v>5.3676733411361246</v>
      </c>
      <c r="C8" s="78">
        <v>5.1393577103739485</v>
      </c>
      <c r="D8" s="78">
        <v>5.8696628506353399</v>
      </c>
      <c r="E8" s="78">
        <v>5.4779632831527092</v>
      </c>
      <c r="F8" s="78">
        <v>5.4159762835583747</v>
      </c>
      <c r="G8" s="78">
        <v>9.387158015389927</v>
      </c>
      <c r="H8" s="78">
        <v>13.680960088222781</v>
      </c>
      <c r="I8" s="80"/>
      <c r="J8" s="80"/>
      <c r="K8" s="80"/>
      <c r="L8" s="80"/>
      <c r="M8" s="80"/>
      <c r="N8" s="80"/>
    </row>
    <row r="9" spans="1:24" ht="15.75" customHeight="1">
      <c r="A9" s="9" t="s">
        <v>4</v>
      </c>
      <c r="B9" s="78">
        <v>31.84685904815904</v>
      </c>
      <c r="C9" s="78">
        <v>33.402395517744054</v>
      </c>
      <c r="D9" s="78">
        <v>38.582162908780006</v>
      </c>
      <c r="E9" s="78">
        <v>38.369300498239618</v>
      </c>
      <c r="F9" s="78">
        <v>42.117045091082709</v>
      </c>
      <c r="G9" s="78">
        <v>41.047466394861779</v>
      </c>
      <c r="H9" s="78">
        <v>48.224624696619685</v>
      </c>
      <c r="I9" s="71" t="s">
        <v>149</v>
      </c>
      <c r="J9" s="44">
        <v>49.8</v>
      </c>
      <c r="K9" s="44">
        <v>65.900000000000006</v>
      </c>
      <c r="L9" s="44">
        <v>68.8</v>
      </c>
      <c r="M9" s="44">
        <v>61.8</v>
      </c>
      <c r="N9" s="44">
        <v>57.166208064885311</v>
      </c>
      <c r="O9" s="44">
        <v>58.691826148130836</v>
      </c>
      <c r="P9" s="44">
        <v>69.229278548863988</v>
      </c>
      <c r="Q9" s="44">
        <v>61.309934367678615</v>
      </c>
      <c r="R9" s="44">
        <v>53.903727402573743</v>
      </c>
      <c r="S9" s="44">
        <v>64.324254839485917</v>
      </c>
      <c r="T9" s="44">
        <v>46.733440246671385</v>
      </c>
      <c r="U9" s="44">
        <v>49.293225986456335</v>
      </c>
      <c r="V9" s="44">
        <v>58.780386712511429</v>
      </c>
      <c r="W9" s="44">
        <v>54.646479182132573</v>
      </c>
      <c r="X9" s="44">
        <v>52.865103851037937</v>
      </c>
    </row>
    <row r="10" spans="1:24" ht="15.75" customHeight="1">
      <c r="A10" s="9" t="s">
        <v>5</v>
      </c>
      <c r="B10" s="78">
        <v>32.560157229556538</v>
      </c>
      <c r="C10" s="78">
        <v>35.917023037040288</v>
      </c>
      <c r="D10" s="78">
        <v>39.704712956397373</v>
      </c>
      <c r="E10" s="78">
        <v>40.08395091384989</v>
      </c>
      <c r="F10" s="78">
        <v>44.27646686591077</v>
      </c>
      <c r="G10" s="78">
        <v>42.949140048509186</v>
      </c>
      <c r="H10" s="78">
        <v>50.562502116303818</v>
      </c>
      <c r="I10" s="44">
        <v>56.415986240971598</v>
      </c>
      <c r="J10" s="44">
        <v>51.596883707596703</v>
      </c>
      <c r="K10" s="44">
        <v>57.6927195295671</v>
      </c>
      <c r="L10" s="44">
        <v>56.137938154903601</v>
      </c>
      <c r="M10" s="44">
        <v>45.540732795851703</v>
      </c>
      <c r="N10" s="44">
        <v>30.760689283118751</v>
      </c>
      <c r="O10" s="44">
        <v>34.288798253424964</v>
      </c>
      <c r="P10" s="44">
        <v>30.65695633964296</v>
      </c>
      <c r="Q10" s="71" t="s">
        <v>149</v>
      </c>
      <c r="R10" s="71" t="s">
        <v>149</v>
      </c>
      <c r="S10" s="71" t="s">
        <v>149</v>
      </c>
      <c r="T10" s="44">
        <v>28.948223651705202</v>
      </c>
      <c r="U10" s="44">
        <v>30.233151043917047</v>
      </c>
      <c r="V10" s="44">
        <v>27.625352853484817</v>
      </c>
      <c r="W10" s="44">
        <v>24.519838482643433</v>
      </c>
      <c r="X10" s="44">
        <v>30.62</v>
      </c>
    </row>
    <row r="11" spans="1:24" ht="15.75" customHeight="1">
      <c r="A11" s="9" t="s">
        <v>50</v>
      </c>
      <c r="B11" s="78">
        <v>17.691497468962005</v>
      </c>
      <c r="C11" s="78">
        <v>16.667653068990766</v>
      </c>
      <c r="D11" s="78">
        <v>16.602309659417834</v>
      </c>
      <c r="E11" s="78">
        <v>16.718833135922445</v>
      </c>
      <c r="F11" s="78">
        <v>17.729996543174778</v>
      </c>
      <c r="G11" s="78">
        <v>17.671978710699694</v>
      </c>
      <c r="H11" s="78">
        <v>22.068661563442358</v>
      </c>
      <c r="I11" s="254">
        <v>21.591808040239364</v>
      </c>
      <c r="J11" s="254">
        <v>23.936044681608649</v>
      </c>
      <c r="K11" s="255">
        <v>24.065374526170949</v>
      </c>
      <c r="L11" s="255">
        <v>24.280427883375001</v>
      </c>
      <c r="M11" s="255">
        <v>22.410373601398703</v>
      </c>
      <c r="N11" s="262">
        <v>23.600909206172457</v>
      </c>
      <c r="O11" s="262">
        <v>22.4</v>
      </c>
      <c r="P11" s="262">
        <v>20.672422287289923</v>
      </c>
      <c r="Q11" s="44">
        <v>19.847882830898566</v>
      </c>
      <c r="R11" s="44">
        <v>22.130613966190435</v>
      </c>
      <c r="S11" s="44">
        <v>20.190857033791897</v>
      </c>
      <c r="T11" s="44">
        <v>20.579179767724419</v>
      </c>
      <c r="U11" s="44">
        <v>23.270373432506258</v>
      </c>
      <c r="V11" s="44">
        <v>27.25748203495019</v>
      </c>
      <c r="W11" s="44">
        <v>29.80270874595578</v>
      </c>
      <c r="X11" s="44">
        <v>31.46727859357383</v>
      </c>
    </row>
    <row r="12" spans="1:24" ht="15.75" customHeight="1">
      <c r="A12" s="9" t="s">
        <v>6</v>
      </c>
      <c r="B12" s="78">
        <v>23.914917081823706</v>
      </c>
      <c r="C12" s="78">
        <v>24.316339248518346</v>
      </c>
      <c r="D12" s="78">
        <v>22.360869694322325</v>
      </c>
      <c r="E12" s="78">
        <v>17.335792508247039</v>
      </c>
      <c r="F12" s="78">
        <v>16.060667591062487</v>
      </c>
      <c r="G12" s="78">
        <v>14.990042906740435</v>
      </c>
      <c r="H12" s="78">
        <v>17.692087802845776</v>
      </c>
      <c r="I12" s="82">
        <v>13.219946576491791</v>
      </c>
      <c r="J12" s="82">
        <v>13.688804573880031</v>
      </c>
      <c r="K12" s="82">
        <v>12.182442282512726</v>
      </c>
      <c r="L12" s="82">
        <v>10.945799882664918</v>
      </c>
      <c r="M12" s="82">
        <v>11.555509538374899</v>
      </c>
      <c r="N12" s="82">
        <v>10.584454446954636</v>
      </c>
      <c r="O12" s="82">
        <v>10.57302245291709</v>
      </c>
      <c r="P12" s="82">
        <v>10.892746261243321</v>
      </c>
      <c r="Q12" s="82">
        <v>10.842725377924289</v>
      </c>
      <c r="R12" s="82">
        <v>11.392069052563395</v>
      </c>
      <c r="S12" s="82">
        <v>11.314361904739819</v>
      </c>
      <c r="T12" s="82">
        <v>11.58</v>
      </c>
      <c r="U12" s="71" t="s">
        <v>149</v>
      </c>
      <c r="V12" s="71" t="s">
        <v>149</v>
      </c>
      <c r="W12" s="71" t="s">
        <v>149</v>
      </c>
      <c r="X12" s="71" t="s">
        <v>149</v>
      </c>
    </row>
    <row r="13" spans="1:24" ht="15.75" customHeight="1">
      <c r="A13" s="9" t="s">
        <v>7</v>
      </c>
      <c r="B13" s="78">
        <v>15.79655458924988</v>
      </c>
      <c r="C13" s="78">
        <v>18.007682922265058</v>
      </c>
      <c r="D13" s="78">
        <v>22.889519512320806</v>
      </c>
      <c r="E13" s="78">
        <v>25.546769805185168</v>
      </c>
      <c r="F13" s="78">
        <v>25.59832905603788</v>
      </c>
      <c r="G13" s="78">
        <v>21.728846125236288</v>
      </c>
      <c r="H13" s="78">
        <v>21.803510656423821</v>
      </c>
      <c r="I13" s="71" t="s">
        <v>149</v>
      </c>
      <c r="J13" s="82">
        <v>18.178001171623375</v>
      </c>
      <c r="K13" s="82">
        <v>14.476236070053936</v>
      </c>
      <c r="L13" s="82">
        <v>16.073294627362863</v>
      </c>
      <c r="M13" s="82">
        <v>14.699785401544483</v>
      </c>
      <c r="N13" s="82">
        <v>11.368562588212892</v>
      </c>
      <c r="O13" s="82">
        <v>9.4057887217714722</v>
      </c>
      <c r="P13" s="82">
        <v>10.38769203834987</v>
      </c>
      <c r="Q13" s="82">
        <v>11.163969035614807</v>
      </c>
      <c r="R13" s="82">
        <v>11.894806758145329</v>
      </c>
      <c r="S13" s="82">
        <v>11.162999227437151</v>
      </c>
      <c r="T13" s="82">
        <v>11.740509865061806</v>
      </c>
      <c r="U13" s="82">
        <v>10.690047290413071</v>
      </c>
      <c r="V13" s="82">
        <v>11.722333834888845</v>
      </c>
      <c r="W13" s="673">
        <v>11.630709541084942</v>
      </c>
      <c r="X13" s="673">
        <v>14.972992221006663</v>
      </c>
    </row>
    <row r="14" spans="1:24" ht="15.75" customHeight="1">
      <c r="A14" s="9" t="s">
        <v>369</v>
      </c>
      <c r="B14" s="71" t="s">
        <v>149</v>
      </c>
      <c r="C14" s="71" t="s">
        <v>149</v>
      </c>
      <c r="D14" s="71" t="s">
        <v>149</v>
      </c>
      <c r="E14" s="71" t="s">
        <v>149</v>
      </c>
      <c r="F14" s="71" t="s">
        <v>149</v>
      </c>
      <c r="G14" s="71" t="s">
        <v>149</v>
      </c>
      <c r="H14" s="78">
        <v>133.59222905843768</v>
      </c>
      <c r="I14" s="71" t="s">
        <v>149</v>
      </c>
      <c r="J14" s="71" t="s">
        <v>149</v>
      </c>
      <c r="K14" s="71" t="s">
        <v>149</v>
      </c>
      <c r="L14" s="71" t="s">
        <v>149</v>
      </c>
      <c r="M14" s="71" t="s">
        <v>149</v>
      </c>
      <c r="N14" s="71">
        <v>8.4700000000000006</v>
      </c>
      <c r="O14" s="256">
        <v>8.1</v>
      </c>
      <c r="P14" s="256">
        <v>8.25</v>
      </c>
      <c r="Q14" s="82">
        <v>10.92</v>
      </c>
      <c r="R14" s="82">
        <v>14.76</v>
      </c>
      <c r="S14" s="82">
        <v>12.98</v>
      </c>
      <c r="T14" s="82">
        <v>1.2390637513410597E-5</v>
      </c>
      <c r="U14" s="82">
        <v>13.6</v>
      </c>
      <c r="V14" s="82">
        <v>21.75</v>
      </c>
      <c r="W14" s="82">
        <v>23.17</v>
      </c>
      <c r="X14" s="82">
        <v>16.495543022251471</v>
      </c>
    </row>
    <row r="15" spans="1:24" ht="15.75" customHeight="1">
      <c r="A15" s="9" t="s">
        <v>8</v>
      </c>
      <c r="B15" s="78">
        <v>24.839507512971455</v>
      </c>
      <c r="C15" s="78">
        <v>24.736243839672891</v>
      </c>
      <c r="D15" s="78">
        <v>29.056164079219645</v>
      </c>
      <c r="E15" s="78">
        <v>39.539710786434306</v>
      </c>
      <c r="F15" s="78">
        <v>43.905881540834947</v>
      </c>
      <c r="G15" s="78">
        <v>41.577768204759785</v>
      </c>
      <c r="H15" s="78">
        <v>36.163885203597985</v>
      </c>
      <c r="I15" s="78">
        <v>38.285270512700791</v>
      </c>
      <c r="J15" s="78">
        <v>41.55995260697636</v>
      </c>
      <c r="K15" s="78">
        <v>43.866790498694506</v>
      </c>
      <c r="L15" s="78">
        <v>43.383644279683601</v>
      </c>
      <c r="M15" s="78">
        <v>33.139551590988269</v>
      </c>
      <c r="N15" s="78">
        <v>30.3</v>
      </c>
      <c r="O15" s="78">
        <v>28.635414206930061</v>
      </c>
      <c r="P15" s="78">
        <v>28.4386467327917</v>
      </c>
      <c r="Q15" s="82">
        <v>26.291581739805867</v>
      </c>
      <c r="R15" s="82">
        <v>24.652652567675126</v>
      </c>
      <c r="S15" s="82">
        <v>22.23630821571215</v>
      </c>
      <c r="T15" s="82">
        <v>18.573577243824413</v>
      </c>
      <c r="U15" s="82">
        <v>17.523113996169492</v>
      </c>
      <c r="V15" s="82">
        <v>16.75742468964361</v>
      </c>
      <c r="W15" s="82">
        <v>17.036489686620151</v>
      </c>
      <c r="X15" s="82">
        <v>17.726391719232748</v>
      </c>
    </row>
    <row r="16" spans="1:24" ht="15.75" customHeight="1">
      <c r="A16" s="9" t="s">
        <v>82</v>
      </c>
      <c r="B16" s="78">
        <v>12.82191927579952</v>
      </c>
      <c r="C16" s="78">
        <v>9.3571209387637317</v>
      </c>
      <c r="D16" s="78">
        <v>8.7620231414560106</v>
      </c>
      <c r="E16" s="78">
        <v>8.3494492700465166</v>
      </c>
      <c r="F16" s="78">
        <v>7.3481951108339363</v>
      </c>
      <c r="G16" s="78">
        <v>8.2238718503056099</v>
      </c>
      <c r="H16" s="78">
        <v>8.6672537852066913</v>
      </c>
      <c r="I16" s="71" t="s">
        <v>149</v>
      </c>
      <c r="J16" s="82">
        <v>10.120191701911624</v>
      </c>
      <c r="K16" s="82">
        <v>10.101249289715746</v>
      </c>
      <c r="L16" s="82">
        <v>11.132525331390561</v>
      </c>
      <c r="M16" s="82">
        <v>10.895231032313285</v>
      </c>
      <c r="N16" s="82">
        <v>10.656805250369825</v>
      </c>
      <c r="O16" s="82">
        <v>15.45696081211765</v>
      </c>
      <c r="P16" s="82">
        <v>11.746155375488611</v>
      </c>
      <c r="Q16" s="82">
        <v>11.040091244005028</v>
      </c>
      <c r="R16" s="82">
        <v>12.599597168854256</v>
      </c>
      <c r="S16" s="82">
        <v>10.388985183052966</v>
      </c>
      <c r="T16" s="82">
        <v>2.6118079772252667</v>
      </c>
      <c r="U16" s="82">
        <v>12.764429031566655</v>
      </c>
      <c r="V16" s="82">
        <v>13.933963263999397</v>
      </c>
      <c r="W16" s="82">
        <v>14.488494426579676</v>
      </c>
      <c r="X16" s="82">
        <v>19.436153568748651</v>
      </c>
    </row>
    <row r="17" spans="1:24" ht="15.75" customHeight="1">
      <c r="A17" s="9" t="s">
        <v>9</v>
      </c>
      <c r="B17" s="78">
        <v>17.259429420282842</v>
      </c>
      <c r="C17" s="78">
        <v>14.645475639163807</v>
      </c>
      <c r="D17" s="78">
        <v>17.913540446842731</v>
      </c>
      <c r="E17" s="78">
        <v>20.685184221579465</v>
      </c>
      <c r="F17" s="78">
        <v>24.578913322368859</v>
      </c>
      <c r="G17" s="78">
        <v>29.818032045528902</v>
      </c>
      <c r="H17" s="78">
        <v>45.88985193724406</v>
      </c>
      <c r="I17" s="71" t="s">
        <v>149</v>
      </c>
      <c r="J17" s="71" t="s">
        <v>149</v>
      </c>
      <c r="K17" s="82">
        <v>47.205545511851561</v>
      </c>
      <c r="L17" s="82">
        <v>47.683568505767226</v>
      </c>
      <c r="M17" s="82">
        <v>42.806236278704247</v>
      </c>
      <c r="N17" s="82">
        <v>38.637591279338274</v>
      </c>
      <c r="O17" s="82">
        <v>37.748164287587144</v>
      </c>
      <c r="P17" s="82">
        <v>47.820417899123527</v>
      </c>
      <c r="Q17" s="82">
        <v>40.499135285373697</v>
      </c>
      <c r="R17" s="82">
        <v>33.72</v>
      </c>
      <c r="S17" s="82">
        <v>33.61547697130856</v>
      </c>
      <c r="T17" s="82">
        <v>27.184062140522229</v>
      </c>
      <c r="U17" s="82">
        <v>32.224020043501554</v>
      </c>
      <c r="V17" s="82">
        <v>39.591398406506841</v>
      </c>
      <c r="W17" s="82">
        <v>31.626047973260221</v>
      </c>
      <c r="X17" s="82">
        <v>33.614420314863644</v>
      </c>
    </row>
    <row r="18" spans="1:24" ht="5.0999999999999996" customHeight="1">
      <c r="A18" s="9"/>
      <c r="B18" s="257"/>
      <c r="C18" s="257"/>
      <c r="D18" s="257"/>
      <c r="E18" s="257"/>
      <c r="F18" s="257"/>
      <c r="G18" s="257"/>
      <c r="H18" s="184"/>
      <c r="P18" s="124"/>
    </row>
    <row r="19" spans="1:24" s="11" customFormat="1" ht="15.75" customHeight="1">
      <c r="A19" s="85" t="s">
        <v>10</v>
      </c>
      <c r="B19" s="573">
        <v>20.593596184829881</v>
      </c>
      <c r="C19" s="573">
        <v>22.905216213492658</v>
      </c>
      <c r="D19" s="573">
        <v>26.284338383444098</v>
      </c>
      <c r="E19" s="573">
        <v>28.232400376493889</v>
      </c>
      <c r="F19" s="573">
        <v>30.58254986119023</v>
      </c>
      <c r="G19" s="573">
        <v>27.297934499388649</v>
      </c>
      <c r="H19" s="573">
        <v>29.323018715770125</v>
      </c>
      <c r="I19" s="573"/>
      <c r="J19" s="573"/>
      <c r="K19" s="573"/>
      <c r="L19" s="573"/>
      <c r="M19" s="573"/>
      <c r="N19" s="573"/>
      <c r="O19" s="573"/>
      <c r="P19" s="423"/>
      <c r="Q19" s="512"/>
      <c r="R19" s="512"/>
      <c r="S19" s="512"/>
      <c r="T19" s="512"/>
      <c r="U19" s="512"/>
      <c r="V19" s="512"/>
      <c r="W19" s="512"/>
      <c r="X19" s="512"/>
    </row>
    <row r="20" spans="1:24" ht="6.75" customHeight="1">
      <c r="A20" s="9"/>
      <c r="B20" s="87"/>
      <c r="C20" s="87"/>
      <c r="D20" s="87"/>
      <c r="E20" s="87"/>
      <c r="F20" s="87"/>
      <c r="G20" s="87"/>
    </row>
    <row r="21" spans="1:24">
      <c r="A21" s="29" t="s">
        <v>55</v>
      </c>
      <c r="B21" s="13"/>
      <c r="C21" s="13"/>
      <c r="D21" s="13"/>
      <c r="E21" s="13"/>
      <c r="F21" s="13"/>
      <c r="G21" s="13"/>
    </row>
    <row r="23" spans="1:24">
      <c r="B23" s="133"/>
      <c r="C23" s="133"/>
      <c r="D23" s="133"/>
      <c r="E23" s="133"/>
      <c r="G23" s="133"/>
    </row>
  </sheetData>
  <phoneticPr fontId="9" type="noConversion"/>
  <pageMargins left="0.74803149606299213" right="0.74803149606299213" top="0.98425196850393704" bottom="0.98425196850393704" header="0.51181102362204722" footer="0.51181102362204722"/>
  <pageSetup scale="94" orientation="landscape" r:id="rId1"/>
  <headerFooter alignWithMargins="0">
    <oddHeader>&amp;A</oddHeader>
    <oddFooter>&amp;L&amp;F&amp;R&amp;D</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X33"/>
  <sheetViews>
    <sheetView showGridLines="0" zoomScale="90" zoomScaleNormal="90" workbookViewId="0"/>
  </sheetViews>
  <sheetFormatPr baseColWidth="10" defaultRowHeight="15"/>
  <cols>
    <col min="1" max="1" width="12.625" style="13" customWidth="1"/>
    <col min="2" max="15" width="9.625" style="13" customWidth="1"/>
    <col min="16" max="16" width="9.75" style="13" customWidth="1"/>
    <col min="17" max="16384" width="11" style="13"/>
  </cols>
  <sheetData>
    <row r="1" spans="1:24">
      <c r="A1" s="10" t="s">
        <v>329</v>
      </c>
    </row>
    <row r="2" spans="1:24" ht="15.75" customHeight="1">
      <c r="A2" s="12" t="s">
        <v>428</v>
      </c>
      <c r="F2" s="11"/>
    </row>
    <row r="3" spans="1:24" ht="15.75" customHeight="1">
      <c r="A3" s="10" t="s">
        <v>32</v>
      </c>
    </row>
    <row r="4" spans="1:24" ht="6.75" customHeight="1">
      <c r="A4" s="74"/>
      <c r="B4" s="75"/>
      <c r="C4" s="75"/>
      <c r="D4" s="75"/>
      <c r="E4" s="75"/>
      <c r="G4" s="75"/>
    </row>
    <row r="5" spans="1:24" s="144" customFormat="1" ht="24.95" customHeight="1">
      <c r="A5" s="513" t="s">
        <v>0</v>
      </c>
      <c r="B5" s="502">
        <v>2003</v>
      </c>
      <c r="C5" s="502">
        <v>2004</v>
      </c>
      <c r="D5" s="502">
        <v>2005</v>
      </c>
      <c r="E5" s="502">
        <v>2006</v>
      </c>
      <c r="F5" s="502">
        <v>2007</v>
      </c>
      <c r="G5" s="502">
        <v>2008</v>
      </c>
      <c r="H5" s="502">
        <v>2009</v>
      </c>
      <c r="I5" s="502">
        <v>2010</v>
      </c>
      <c r="J5" s="502">
        <v>2011</v>
      </c>
      <c r="K5" s="502">
        <v>2012</v>
      </c>
      <c r="L5" s="502">
        <v>2013</v>
      </c>
      <c r="M5" s="502">
        <v>2014</v>
      </c>
      <c r="N5" s="502">
        <v>2015</v>
      </c>
      <c r="O5" s="502">
        <v>2016</v>
      </c>
      <c r="P5" s="502">
        <v>2017</v>
      </c>
      <c r="Q5" s="502">
        <v>2018</v>
      </c>
      <c r="R5" s="502">
        <v>2019</v>
      </c>
      <c r="S5" s="502">
        <v>2020</v>
      </c>
      <c r="T5" s="502">
        <v>2021</v>
      </c>
      <c r="U5" s="502">
        <v>2022</v>
      </c>
      <c r="V5" s="502">
        <v>2023</v>
      </c>
      <c r="W5" s="502">
        <v>2024</v>
      </c>
      <c r="X5" s="502">
        <v>2025</v>
      </c>
    </row>
    <row r="6" spans="1:24" s="134" customFormat="1" ht="8.1" customHeight="1">
      <c r="A6" s="18"/>
      <c r="B6" s="135"/>
      <c r="C6" s="135"/>
      <c r="D6" s="135"/>
      <c r="E6" s="135"/>
      <c r="G6" s="135"/>
    </row>
    <row r="7" spans="1:24" ht="15.75" hidden="1" customHeight="1">
      <c r="A7" s="9" t="s">
        <v>2</v>
      </c>
      <c r="B7" s="309">
        <v>61.112107170125476</v>
      </c>
      <c r="C7" s="309">
        <v>66.4049380782686</v>
      </c>
      <c r="D7" s="309">
        <v>72.676817014554103</v>
      </c>
      <c r="E7" s="309">
        <v>80.187172690557531</v>
      </c>
      <c r="F7" s="309">
        <v>91.700502363928436</v>
      </c>
      <c r="G7" s="310"/>
      <c r="H7" s="80"/>
      <c r="I7" s="80"/>
      <c r="J7" s="80"/>
      <c r="K7" s="80"/>
      <c r="L7" s="80"/>
      <c r="M7" s="80"/>
      <c r="N7" s="80"/>
    </row>
    <row r="8" spans="1:24" ht="15.75" hidden="1" customHeight="1">
      <c r="A8" s="9" t="s">
        <v>3</v>
      </c>
      <c r="B8" s="309">
        <v>31.833719409566125</v>
      </c>
      <c r="C8" s="309">
        <v>30.593536321347173</v>
      </c>
      <c r="D8" s="309">
        <v>28.181016464636819</v>
      </c>
      <c r="E8" s="309">
        <v>26.918811055612153</v>
      </c>
      <c r="F8" s="309">
        <v>29.038182580883078</v>
      </c>
      <c r="G8" s="309">
        <v>43.657778712225316</v>
      </c>
      <c r="H8" s="309">
        <v>41.135792203366641</v>
      </c>
      <c r="I8" s="80"/>
      <c r="J8" s="80"/>
      <c r="K8" s="80"/>
      <c r="L8" s="80"/>
      <c r="M8" s="80"/>
      <c r="N8" s="80"/>
    </row>
    <row r="9" spans="1:24" ht="15.75" customHeight="1">
      <c r="A9" s="9" t="s">
        <v>4</v>
      </c>
      <c r="B9" s="78">
        <v>107.09046624867827</v>
      </c>
      <c r="C9" s="78">
        <v>121.08870908367662</v>
      </c>
      <c r="D9" s="78">
        <v>141.41113798165995</v>
      </c>
      <c r="E9" s="78">
        <v>157.98531287771956</v>
      </c>
      <c r="F9" s="78">
        <v>185.77220677934773</v>
      </c>
      <c r="G9" s="78">
        <v>86.191435885782965</v>
      </c>
      <c r="H9" s="78">
        <v>215.87416980488786</v>
      </c>
      <c r="I9" s="82" t="s">
        <v>149</v>
      </c>
      <c r="J9" s="44">
        <v>172.19</v>
      </c>
      <c r="K9" s="44">
        <v>116</v>
      </c>
      <c r="L9" s="44">
        <v>110</v>
      </c>
      <c r="M9" s="44">
        <v>100</v>
      </c>
      <c r="N9" s="44">
        <v>88.962984089321395</v>
      </c>
      <c r="O9" s="44">
        <v>96.882763783562581</v>
      </c>
      <c r="P9" s="44">
        <v>104.55898843655089</v>
      </c>
      <c r="Q9" s="44">
        <v>96.881113599537727</v>
      </c>
      <c r="R9" s="44">
        <v>97.24543827807635</v>
      </c>
      <c r="S9" s="44">
        <v>100.7249436967508</v>
      </c>
      <c r="T9" s="44">
        <v>90.557597964916454</v>
      </c>
      <c r="U9" s="44">
        <v>97.562379687093895</v>
      </c>
      <c r="V9" s="44">
        <v>96.814863984229589</v>
      </c>
      <c r="W9" s="44">
        <v>94.891974422876814</v>
      </c>
      <c r="X9" s="44">
        <v>108.61754193860959</v>
      </c>
    </row>
    <row r="10" spans="1:24" ht="15.75" customHeight="1">
      <c r="A10" s="9" t="s">
        <v>5</v>
      </c>
      <c r="B10" s="78">
        <v>47.63920214672472</v>
      </c>
      <c r="C10" s="78">
        <v>64.959149269562403</v>
      </c>
      <c r="D10" s="78">
        <v>80.289863605602719</v>
      </c>
      <c r="E10" s="78">
        <v>84.412649013316098</v>
      </c>
      <c r="F10" s="78">
        <v>94.648991431482486</v>
      </c>
      <c r="G10" s="78">
        <v>85.333220145595547</v>
      </c>
      <c r="H10" s="78">
        <v>166.08734124445667</v>
      </c>
      <c r="I10" s="44">
        <v>166.96151525397764</v>
      </c>
      <c r="J10" s="44">
        <v>162.66882692106432</v>
      </c>
      <c r="K10" s="44">
        <v>190.9608673442595</v>
      </c>
      <c r="L10" s="44">
        <v>193.76298244897978</v>
      </c>
      <c r="M10" s="44">
        <v>151.44938772125039</v>
      </c>
      <c r="N10" s="44">
        <v>112.41496778810897</v>
      </c>
      <c r="O10" s="44">
        <v>134.70504014533489</v>
      </c>
      <c r="P10" s="44">
        <v>129.96948061532393</v>
      </c>
      <c r="Q10" s="82" t="s">
        <v>149</v>
      </c>
      <c r="R10" s="82" t="s">
        <v>149</v>
      </c>
      <c r="S10" s="82" t="s">
        <v>149</v>
      </c>
      <c r="T10" s="44">
        <v>95.666585997208955</v>
      </c>
      <c r="U10" s="44">
        <v>64.091890159190186</v>
      </c>
      <c r="V10" s="44">
        <v>81.318888107960262</v>
      </c>
      <c r="W10" s="44">
        <v>83.955809262652764</v>
      </c>
      <c r="X10" s="44">
        <v>105.91</v>
      </c>
    </row>
    <row r="11" spans="1:24" ht="15.75" customHeight="1">
      <c r="A11" s="9" t="s">
        <v>50</v>
      </c>
      <c r="B11" s="78">
        <v>4.009910084858789</v>
      </c>
      <c r="C11" s="78">
        <v>5.9664204477320659</v>
      </c>
      <c r="D11" s="78">
        <v>13.187922403489868</v>
      </c>
      <c r="E11" s="78">
        <v>17.692580111752054</v>
      </c>
      <c r="F11" s="78">
        <v>18.059834368723696</v>
      </c>
      <c r="G11" s="78">
        <v>16.34799594001003</v>
      </c>
      <c r="H11" s="78">
        <v>37.182578985124593</v>
      </c>
      <c r="I11" s="78">
        <v>34.081068365467679</v>
      </c>
      <c r="J11" s="78">
        <v>38.592436255272524</v>
      </c>
      <c r="K11" s="78">
        <v>43.373238550181021</v>
      </c>
      <c r="L11" s="78">
        <v>55.232621531235793</v>
      </c>
      <c r="M11" s="78">
        <v>42.813643168775869</v>
      </c>
      <c r="N11" s="78">
        <v>51</v>
      </c>
      <c r="O11" s="44">
        <v>50.943861960270809</v>
      </c>
      <c r="P11" s="44">
        <v>42.391155682411238</v>
      </c>
      <c r="Q11" s="44">
        <v>64.119805010769753</v>
      </c>
      <c r="R11" s="44">
        <v>77.480956887598666</v>
      </c>
      <c r="S11" s="44">
        <v>63.46096037586701</v>
      </c>
      <c r="T11" s="44">
        <v>65.903025850888511</v>
      </c>
      <c r="U11" s="44">
        <v>68.568174041948581</v>
      </c>
      <c r="V11" s="44">
        <v>82.422889045559344</v>
      </c>
      <c r="W11" s="44">
        <v>92.54608398755903</v>
      </c>
      <c r="X11" s="44">
        <v>103.52765233502943</v>
      </c>
    </row>
    <row r="12" spans="1:24" ht="15.75" customHeight="1">
      <c r="A12" s="9" t="s">
        <v>6</v>
      </c>
      <c r="B12" s="78">
        <v>87.217492866450044</v>
      </c>
      <c r="C12" s="78">
        <v>98.960703741029789</v>
      </c>
      <c r="D12" s="78">
        <v>100.46152113197338</v>
      </c>
      <c r="E12" s="78">
        <v>90.410945223086031</v>
      </c>
      <c r="F12" s="78">
        <v>86.9056008571457</v>
      </c>
      <c r="G12" s="78">
        <v>94.999021963452506</v>
      </c>
      <c r="H12" s="78">
        <v>101.51459995401308</v>
      </c>
      <c r="I12" s="82">
        <v>103.75978821282875</v>
      </c>
      <c r="J12" s="82">
        <v>109.95722979770312</v>
      </c>
      <c r="K12" s="82">
        <v>91.992903654761164</v>
      </c>
      <c r="L12" s="82">
        <v>84.449481502011679</v>
      </c>
      <c r="M12" s="82">
        <v>91.830309172464879</v>
      </c>
      <c r="N12" s="82">
        <v>97.39178292572943</v>
      </c>
      <c r="O12" s="44">
        <v>104.00790306218509</v>
      </c>
      <c r="P12" s="44">
        <v>111.4261617010276</v>
      </c>
      <c r="Q12" s="44">
        <v>104.72935060149352</v>
      </c>
      <c r="R12" s="44">
        <v>98.489411678250022</v>
      </c>
      <c r="S12" s="44">
        <v>89.004594182833202</v>
      </c>
      <c r="T12" s="44">
        <v>84.45</v>
      </c>
      <c r="U12" s="82" t="s">
        <v>149</v>
      </c>
      <c r="V12" s="82" t="s">
        <v>149</v>
      </c>
      <c r="W12" s="82" t="s">
        <v>149</v>
      </c>
      <c r="X12" s="82" t="s">
        <v>149</v>
      </c>
    </row>
    <row r="13" spans="1:24" ht="15.75" customHeight="1">
      <c r="A13" s="9" t="s">
        <v>7</v>
      </c>
      <c r="B13" s="78">
        <v>87.950675139825734</v>
      </c>
      <c r="C13" s="78">
        <v>92.163788894485194</v>
      </c>
      <c r="D13" s="78">
        <v>98.614386176087294</v>
      </c>
      <c r="E13" s="78">
        <v>93.143922168573937</v>
      </c>
      <c r="F13" s="78">
        <v>93.461086167922886</v>
      </c>
      <c r="G13" s="78">
        <v>75.305468122303623</v>
      </c>
      <c r="H13" s="78">
        <v>95.961584813934024</v>
      </c>
      <c r="I13" s="82" t="s">
        <v>149</v>
      </c>
      <c r="J13" s="82">
        <v>105.0365089903773</v>
      </c>
      <c r="K13" s="82">
        <v>121.23853344276321</v>
      </c>
      <c r="L13" s="82">
        <v>123.30429904968207</v>
      </c>
      <c r="M13" s="82">
        <v>107.21489989632917</v>
      </c>
      <c r="N13" s="82">
        <v>93.521711028103354</v>
      </c>
      <c r="O13" s="82">
        <v>71.719980814664879</v>
      </c>
      <c r="P13" s="82">
        <v>77.697359132666634</v>
      </c>
      <c r="Q13" s="82">
        <v>92.516444851840546</v>
      </c>
      <c r="R13" s="82">
        <v>87.354865040545093</v>
      </c>
      <c r="S13" s="82">
        <v>96.866181054222949</v>
      </c>
      <c r="T13" s="82">
        <v>92.120059618333244</v>
      </c>
      <c r="U13" s="82">
        <v>63.160762542737828</v>
      </c>
      <c r="V13" s="82">
        <v>80.129599146837549</v>
      </c>
      <c r="W13" s="674">
        <v>70.453779462991051</v>
      </c>
      <c r="X13" s="674">
        <v>93.562623865292139</v>
      </c>
    </row>
    <row r="14" spans="1:24" ht="15.75" customHeight="1">
      <c r="A14" s="9" t="s">
        <v>369</v>
      </c>
      <c r="B14" s="82" t="s">
        <v>149</v>
      </c>
      <c r="C14" s="82" t="s">
        <v>149</v>
      </c>
      <c r="D14" s="82" t="s">
        <v>149</v>
      </c>
      <c r="E14" s="82" t="s">
        <v>149</v>
      </c>
      <c r="F14" s="82" t="s">
        <v>149</v>
      </c>
      <c r="G14" s="82" t="s">
        <v>149</v>
      </c>
      <c r="H14" s="78">
        <v>395.29673697062555</v>
      </c>
      <c r="I14" s="82" t="s">
        <v>149</v>
      </c>
      <c r="J14" s="82" t="s">
        <v>149</v>
      </c>
      <c r="K14" s="82" t="s">
        <v>149</v>
      </c>
      <c r="L14" s="82" t="s">
        <v>149</v>
      </c>
      <c r="M14" s="82">
        <v>17.34</v>
      </c>
      <c r="N14" s="82">
        <v>33.130000000000003</v>
      </c>
      <c r="O14" s="82">
        <v>35.380000000000003</v>
      </c>
      <c r="P14" s="82">
        <v>37.729999999999997</v>
      </c>
      <c r="Q14" s="82">
        <v>37.47</v>
      </c>
      <c r="R14" s="82">
        <v>31.6</v>
      </c>
      <c r="S14" s="82">
        <v>37.74</v>
      </c>
      <c r="T14" s="82">
        <v>3.5746867494554184E-5</v>
      </c>
      <c r="U14" s="82">
        <v>35.5</v>
      </c>
      <c r="V14" s="82">
        <v>34.700000000000003</v>
      </c>
      <c r="W14" s="82">
        <v>39.89</v>
      </c>
      <c r="X14" s="82">
        <v>39.71114111434548</v>
      </c>
    </row>
    <row r="15" spans="1:24" ht="15.75" customHeight="1">
      <c r="A15" s="9" t="s">
        <v>363</v>
      </c>
      <c r="B15" s="82" t="s">
        <v>149</v>
      </c>
      <c r="C15" s="82" t="s">
        <v>149</v>
      </c>
      <c r="D15" s="82" t="s">
        <v>149</v>
      </c>
      <c r="E15" s="82" t="s">
        <v>149</v>
      </c>
      <c r="F15" s="82" t="s">
        <v>149</v>
      </c>
      <c r="G15" s="82" t="s">
        <v>149</v>
      </c>
      <c r="H15" s="82" t="s">
        <v>149</v>
      </c>
      <c r="I15" s="82" t="s">
        <v>149</v>
      </c>
      <c r="J15" s="82" t="s">
        <v>149</v>
      </c>
      <c r="K15" s="82" t="s">
        <v>149</v>
      </c>
      <c r="L15" s="82" t="s">
        <v>149</v>
      </c>
      <c r="M15" s="82" t="s">
        <v>149</v>
      </c>
      <c r="N15" s="78">
        <v>18</v>
      </c>
      <c r="O15" s="78">
        <v>15</v>
      </c>
      <c r="P15" s="78">
        <v>14.4</v>
      </c>
      <c r="Q15" s="78">
        <v>14</v>
      </c>
      <c r="R15" s="78">
        <v>14</v>
      </c>
      <c r="S15" s="82" t="s">
        <v>149</v>
      </c>
      <c r="T15" s="82" t="s">
        <v>149</v>
      </c>
      <c r="U15" s="82" t="s">
        <v>149</v>
      </c>
      <c r="V15" s="82" t="s">
        <v>149</v>
      </c>
      <c r="W15" s="82" t="s">
        <v>149</v>
      </c>
      <c r="X15" s="82" t="s">
        <v>149</v>
      </c>
    </row>
    <row r="16" spans="1:24" ht="15.75" customHeight="1">
      <c r="A16" s="9" t="s">
        <v>8</v>
      </c>
      <c r="B16" s="78">
        <v>129.03974409415446</v>
      </c>
      <c r="C16" s="78">
        <v>135.58749118520558</v>
      </c>
      <c r="D16" s="78">
        <v>136.78909297356333</v>
      </c>
      <c r="E16" s="78">
        <v>126.09328602389802</v>
      </c>
      <c r="F16" s="78">
        <v>134.14941531754573</v>
      </c>
      <c r="G16" s="78">
        <v>146.86181883123058</v>
      </c>
      <c r="H16" s="78">
        <v>146.57234870499622</v>
      </c>
      <c r="I16" s="78">
        <v>155.64220199016313</v>
      </c>
      <c r="J16" s="78">
        <v>173.83713121965781</v>
      </c>
      <c r="K16" s="78">
        <v>188.96410111348624</v>
      </c>
      <c r="L16" s="78">
        <v>172.78699731591482</v>
      </c>
      <c r="M16" s="78">
        <v>155.01712939486336</v>
      </c>
      <c r="N16" s="78">
        <v>146</v>
      </c>
      <c r="O16" s="78">
        <v>136.50659874401728</v>
      </c>
      <c r="P16" s="78">
        <v>126.00832404453048</v>
      </c>
      <c r="Q16" s="78">
        <v>135.88142889773903</v>
      </c>
      <c r="R16" s="78">
        <v>121.69752915538659</v>
      </c>
      <c r="S16" s="78">
        <v>96.780524204722411</v>
      </c>
      <c r="T16" s="78">
        <v>92.427743745092897</v>
      </c>
      <c r="U16" s="78">
        <v>85.132893916152213</v>
      </c>
      <c r="V16" s="78">
        <v>77.821621098289455</v>
      </c>
      <c r="W16" s="78">
        <v>74.984418415901558</v>
      </c>
      <c r="X16" s="78">
        <v>80.103090389676865</v>
      </c>
    </row>
    <row r="17" spans="1:24" ht="15.75" customHeight="1">
      <c r="A17" s="9" t="s">
        <v>82</v>
      </c>
      <c r="B17" s="78">
        <v>16.196591284071271</v>
      </c>
      <c r="C17" s="78">
        <v>22.591607856548791</v>
      </c>
      <c r="D17" s="78">
        <v>28.21079942536743</v>
      </c>
      <c r="E17" s="78">
        <v>28.340975272973136</v>
      </c>
      <c r="F17" s="78">
        <v>28.006696141009822</v>
      </c>
      <c r="G17" s="78">
        <v>38.267882853703192</v>
      </c>
      <c r="H17" s="78">
        <v>66.389328396519758</v>
      </c>
      <c r="I17" s="82" t="s">
        <v>149</v>
      </c>
      <c r="J17" s="82">
        <v>77.337084060446287</v>
      </c>
      <c r="K17" s="82">
        <v>111.17948453865979</v>
      </c>
      <c r="L17" s="82">
        <v>128.54162943161774</v>
      </c>
      <c r="M17" s="82">
        <v>92.870317754926162</v>
      </c>
      <c r="N17" s="82">
        <v>79.589198123164905</v>
      </c>
      <c r="O17" s="82">
        <v>96.642737402048056</v>
      </c>
      <c r="P17" s="82">
        <v>98.281338461828909</v>
      </c>
      <c r="Q17" s="82">
        <v>56.5179775673911</v>
      </c>
      <c r="R17" s="82">
        <v>104.30280149997131</v>
      </c>
      <c r="S17" s="82">
        <v>6.6924333723916174</v>
      </c>
      <c r="T17" s="82">
        <v>43.596002167171619</v>
      </c>
      <c r="U17" s="82">
        <v>86.389829164194794</v>
      </c>
      <c r="V17" s="82">
        <v>86.75859795402134</v>
      </c>
      <c r="W17" s="82">
        <v>86.026406619970913</v>
      </c>
      <c r="X17" s="82">
        <v>102.5354771181407</v>
      </c>
    </row>
    <row r="18" spans="1:24" ht="15.75" customHeight="1">
      <c r="A18" s="9" t="s">
        <v>9</v>
      </c>
      <c r="B18" s="78">
        <v>41.532426971844934</v>
      </c>
      <c r="C18" s="78">
        <v>45.683650677544776</v>
      </c>
      <c r="D18" s="78">
        <v>54.217178167563127</v>
      </c>
      <c r="E18" s="78">
        <v>60.650160888637174</v>
      </c>
      <c r="F18" s="78">
        <v>68.641254847068879</v>
      </c>
      <c r="G18" s="78">
        <v>83.824202056652226</v>
      </c>
      <c r="H18" s="78">
        <v>85.901551617672467</v>
      </c>
      <c r="I18" s="82" t="s">
        <v>149</v>
      </c>
      <c r="J18" s="82" t="s">
        <v>149</v>
      </c>
      <c r="K18" s="82">
        <v>112.56921770314803</v>
      </c>
      <c r="L18" s="82">
        <v>121.70093437274717</v>
      </c>
      <c r="M18" s="82">
        <v>120.27423914656427</v>
      </c>
      <c r="N18" s="82">
        <v>117.21426103804339</v>
      </c>
      <c r="O18" s="82">
        <v>129.67452114135489</v>
      </c>
      <c r="P18" s="82">
        <v>120.05892294134408</v>
      </c>
      <c r="Q18" s="82">
        <v>115.28059468055866</v>
      </c>
      <c r="R18" s="82">
        <v>90.04</v>
      </c>
      <c r="S18" s="82">
        <v>66.591823676708998</v>
      </c>
      <c r="T18" s="82">
        <v>64.258920973843672</v>
      </c>
      <c r="U18" s="82">
        <v>79.957715687978165</v>
      </c>
      <c r="V18" s="82">
        <v>84.326267632817718</v>
      </c>
      <c r="W18" s="82">
        <v>76.585901346477371</v>
      </c>
      <c r="X18" s="82">
        <v>85.072855595097522</v>
      </c>
    </row>
    <row r="19" spans="1:24" ht="8.1" customHeight="1">
      <c r="A19" s="9"/>
      <c r="B19" s="257"/>
      <c r="C19" s="257"/>
      <c r="D19" s="257"/>
      <c r="E19" s="257"/>
      <c r="F19" s="257"/>
      <c r="G19" s="257"/>
      <c r="H19" s="184"/>
      <c r="I19" s="184"/>
      <c r="J19" s="184"/>
      <c r="K19" s="184"/>
      <c r="L19" s="184"/>
      <c r="M19" s="184"/>
      <c r="N19" s="184"/>
      <c r="O19" s="184"/>
      <c r="P19" s="184"/>
      <c r="Q19" s="184"/>
      <c r="R19" s="184"/>
      <c r="S19" s="184"/>
      <c r="T19" s="184"/>
      <c r="U19" s="184"/>
      <c r="V19" s="184"/>
      <c r="W19" s="184"/>
      <c r="X19" s="184"/>
    </row>
    <row r="20" spans="1:24" s="11" customFormat="1" ht="15.75" customHeight="1">
      <c r="A20" s="85" t="s">
        <v>10</v>
      </c>
      <c r="B20" s="573">
        <v>80.530557441237008</v>
      </c>
      <c r="C20" s="573">
        <v>86.882504840155448</v>
      </c>
      <c r="D20" s="573">
        <v>94.985055480192017</v>
      </c>
      <c r="E20" s="573">
        <v>94.915708986414316</v>
      </c>
      <c r="F20" s="573">
        <v>101.86719491158233</v>
      </c>
      <c r="G20" s="573">
        <v>79.180524847540696</v>
      </c>
      <c r="H20" s="573">
        <v>124.17534588196162</v>
      </c>
      <c r="I20" s="573"/>
      <c r="J20" s="573"/>
      <c r="K20" s="573"/>
      <c r="L20" s="573"/>
      <c r="M20" s="573"/>
      <c r="N20" s="573"/>
      <c r="O20" s="573"/>
      <c r="P20" s="573"/>
      <c r="Q20" s="574"/>
      <c r="R20" s="574"/>
      <c r="S20" s="574"/>
      <c r="T20" s="574"/>
      <c r="U20" s="574"/>
      <c r="V20" s="574"/>
      <c r="W20" s="574"/>
      <c r="X20" s="574"/>
    </row>
    <row r="21" spans="1:24" ht="8.1" customHeight="1">
      <c r="B21" s="12"/>
      <c r="C21" s="12"/>
      <c r="D21" s="12"/>
      <c r="E21" s="12"/>
      <c r="F21" s="240"/>
      <c r="G21" s="12"/>
      <c r="H21" s="240"/>
    </row>
    <row r="22" spans="1:24" ht="15" customHeight="1">
      <c r="A22" s="29" t="s">
        <v>351</v>
      </c>
      <c r="B22" s="29"/>
      <c r="C22" s="29"/>
      <c r="D22" s="29"/>
      <c r="E22" s="29"/>
      <c r="F22" s="29"/>
      <c r="G22" s="29"/>
      <c r="H22" s="312"/>
    </row>
    <row r="23" spans="1:24" ht="15" customHeight="1">
      <c r="A23" s="29" t="s">
        <v>158</v>
      </c>
      <c r="B23" s="29"/>
      <c r="C23" s="29"/>
      <c r="D23" s="29"/>
      <c r="E23" s="29"/>
      <c r="F23" s="29"/>
      <c r="G23" s="29"/>
      <c r="H23" s="312"/>
    </row>
    <row r="24" spans="1:24" ht="15" customHeight="1">
      <c r="A24" s="29" t="s">
        <v>165</v>
      </c>
      <c r="B24" s="29"/>
      <c r="C24" s="29"/>
      <c r="D24" s="29"/>
      <c r="E24" s="29"/>
      <c r="F24" s="29"/>
      <c r="G24" s="29"/>
    </row>
    <row r="25" spans="1:24" ht="15.75" customHeight="1"/>
    <row r="26" spans="1:24" ht="15.75" customHeight="1"/>
    <row r="27" spans="1:24" ht="15.75" customHeight="1">
      <c r="A27" s="150"/>
    </row>
    <row r="28" spans="1:24" ht="15.75" customHeight="1">
      <c r="A28" s="150"/>
    </row>
    <row r="29" spans="1:24" ht="15.75" customHeight="1">
      <c r="A29" s="150"/>
    </row>
    <row r="30" spans="1:24" ht="15.75" customHeight="1">
      <c r="A30" s="150"/>
    </row>
    <row r="31" spans="1:24" ht="15.75" customHeight="1">
      <c r="A31" s="150"/>
    </row>
    <row r="32" spans="1:24" ht="15.75" customHeight="1"/>
    <row r="33" ht="15.75" customHeight="1"/>
  </sheetData>
  <phoneticPr fontId="9" type="noConversion"/>
  <pageMargins left="0.74803149606299213" right="0.74803149606299213" top="0.98425196850393704" bottom="0.98425196850393704" header="0.51181102362204722" footer="0.51181102362204722"/>
  <pageSetup scale="82" orientation="landscape" r:id="rId1"/>
  <headerFooter alignWithMargins="0">
    <oddHeader>&amp;A</oddHeader>
    <oddFooter>&amp;L&amp;F&amp;R&amp;D</oddFooter>
  </headerFooter>
  <legacy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X31"/>
  <sheetViews>
    <sheetView showGridLines="0" zoomScale="90" zoomScaleNormal="90" workbookViewId="0"/>
  </sheetViews>
  <sheetFormatPr baseColWidth="10" defaultRowHeight="15"/>
  <cols>
    <col min="1" max="1" width="12.625" style="13" customWidth="1"/>
    <col min="2" max="8" width="8.125" style="13" customWidth="1"/>
    <col min="9" max="15" width="9.625" style="13" customWidth="1"/>
    <col min="16" max="16" width="10.625" style="13" customWidth="1"/>
    <col min="17" max="16384" width="11" style="13"/>
  </cols>
  <sheetData>
    <row r="1" spans="1:24">
      <c r="A1" s="10" t="s">
        <v>330</v>
      </c>
    </row>
    <row r="2" spans="1:24" ht="15.75" customHeight="1">
      <c r="A2" s="12" t="s">
        <v>429</v>
      </c>
      <c r="F2" s="11"/>
    </row>
    <row r="3" spans="1:24" ht="15.75" customHeight="1">
      <c r="A3" s="12" t="s">
        <v>430</v>
      </c>
    </row>
    <row r="4" spans="1:24" ht="7.5" customHeight="1">
      <c r="A4" s="74"/>
      <c r="B4" s="75"/>
      <c r="C4" s="75"/>
      <c r="D4" s="75"/>
      <c r="E4" s="75"/>
      <c r="G4" s="75"/>
    </row>
    <row r="5" spans="1:24" s="144" customFormat="1" ht="28.5" customHeight="1">
      <c r="A5" s="513" t="s">
        <v>0</v>
      </c>
      <c r="B5" s="502">
        <v>2003</v>
      </c>
      <c r="C5" s="502">
        <v>2004</v>
      </c>
      <c r="D5" s="502">
        <v>2005</v>
      </c>
      <c r="E5" s="502">
        <v>2006</v>
      </c>
      <c r="F5" s="502">
        <v>2007</v>
      </c>
      <c r="G5" s="502">
        <v>2008</v>
      </c>
      <c r="H5" s="502">
        <v>2009</v>
      </c>
      <c r="I5" s="502">
        <v>2010</v>
      </c>
      <c r="J5" s="502">
        <v>2011</v>
      </c>
      <c r="K5" s="502">
        <v>2012</v>
      </c>
      <c r="L5" s="502">
        <v>2013</v>
      </c>
      <c r="M5" s="502">
        <v>2014</v>
      </c>
      <c r="N5" s="502">
        <v>2015</v>
      </c>
      <c r="O5" s="502">
        <v>2016</v>
      </c>
      <c r="P5" s="502">
        <v>2017</v>
      </c>
      <c r="Q5" s="502">
        <v>2018</v>
      </c>
      <c r="R5" s="502">
        <v>2019</v>
      </c>
      <c r="S5" s="502">
        <v>2020</v>
      </c>
      <c r="T5" s="502">
        <v>2021</v>
      </c>
      <c r="U5" s="502">
        <v>2022</v>
      </c>
      <c r="V5" s="502">
        <v>2023</v>
      </c>
      <c r="W5" s="502">
        <v>2024</v>
      </c>
      <c r="X5" s="502">
        <v>2025</v>
      </c>
    </row>
    <row r="6" spans="1:24" ht="15" hidden="1" customHeight="1">
      <c r="A6" s="9" t="s">
        <v>2</v>
      </c>
      <c r="B6" s="78">
        <v>23.999267603584347</v>
      </c>
      <c r="C6" s="78">
        <v>21.179451892524497</v>
      </c>
      <c r="D6" s="78">
        <v>20.483663521613057</v>
      </c>
      <c r="E6" s="78">
        <v>20.565607046008736</v>
      </c>
      <c r="F6" s="78">
        <v>18.811052353667591</v>
      </c>
      <c r="G6" s="79"/>
      <c r="H6" s="80"/>
      <c r="I6" s="80"/>
      <c r="J6" s="80"/>
      <c r="K6" s="80"/>
      <c r="L6" s="80"/>
      <c r="M6" s="80"/>
      <c r="N6" s="80"/>
      <c r="Q6" s="44"/>
    </row>
    <row r="7" spans="1:24" ht="17.25" hidden="1" customHeight="1">
      <c r="A7" s="9" t="s">
        <v>3</v>
      </c>
      <c r="B7" s="78">
        <v>5.0485428509785431</v>
      </c>
      <c r="C7" s="78">
        <v>4.8267577698313184</v>
      </c>
      <c r="D7" s="78">
        <v>4.8217533662845806</v>
      </c>
      <c r="E7" s="78">
        <v>4.6118830295844511</v>
      </c>
      <c r="F7" s="78">
        <v>4.43841609872932</v>
      </c>
      <c r="G7" s="78">
        <v>5.3315826954426431</v>
      </c>
      <c r="H7" s="78">
        <v>4.5832927075598899</v>
      </c>
      <c r="I7" s="80"/>
      <c r="J7" s="80"/>
      <c r="K7" s="80"/>
      <c r="L7" s="80"/>
      <c r="M7" s="80"/>
      <c r="N7" s="80"/>
      <c r="Q7" s="44"/>
    </row>
    <row r="8" spans="1:24" ht="15.75" customHeight="1">
      <c r="A8" s="9" t="s">
        <v>4</v>
      </c>
      <c r="B8" s="78">
        <v>15.386806542877379</v>
      </c>
      <c r="C8" s="78">
        <v>13.570936056063637</v>
      </c>
      <c r="D8" s="78">
        <v>12.515069437040765</v>
      </c>
      <c r="E8" s="78">
        <v>13.530556625494475</v>
      </c>
      <c r="F8" s="78">
        <v>14.178296422669472</v>
      </c>
      <c r="G8" s="78">
        <v>6.4662800789308434</v>
      </c>
      <c r="H8" s="78">
        <v>14.512543994652374</v>
      </c>
      <c r="I8" s="71" t="s">
        <v>149</v>
      </c>
      <c r="J8" s="71" t="s">
        <v>149</v>
      </c>
      <c r="K8" s="44">
        <v>10.4</v>
      </c>
      <c r="L8" s="44">
        <v>10.199999999999999</v>
      </c>
      <c r="M8" s="44">
        <v>9.9</v>
      </c>
      <c r="N8" s="44">
        <v>9.6453185777057193</v>
      </c>
      <c r="O8" s="145">
        <v>9.6168968567256634</v>
      </c>
      <c r="P8" s="145">
        <v>9.098109017593579</v>
      </c>
      <c r="Q8" s="145">
        <v>9.0187273987135459</v>
      </c>
      <c r="R8" s="145">
        <v>8.8645201530066675</v>
      </c>
      <c r="S8" s="145">
        <v>8.2302776702423124</v>
      </c>
      <c r="T8" s="145">
        <v>7.4066764802041156</v>
      </c>
      <c r="U8" s="145">
        <v>7.5643885990238635</v>
      </c>
      <c r="V8" s="145">
        <v>8.463087668037149</v>
      </c>
      <c r="W8" s="145">
        <v>8.7494858844384407</v>
      </c>
      <c r="X8" s="145">
        <v>8.8062502632069499</v>
      </c>
    </row>
    <row r="9" spans="1:24" ht="15.75" customHeight="1">
      <c r="A9" s="9" t="s">
        <v>5</v>
      </c>
      <c r="B9" s="78">
        <v>6.5406977934975918</v>
      </c>
      <c r="C9" s="78">
        <v>7.1069584526521528</v>
      </c>
      <c r="D9" s="78">
        <v>6.7962084148564719</v>
      </c>
      <c r="E9" s="78">
        <v>6.7866030075367014</v>
      </c>
      <c r="F9" s="78">
        <v>6.5764023210831715</v>
      </c>
      <c r="G9" s="78">
        <v>6.3126681540783522</v>
      </c>
      <c r="H9" s="78">
        <v>9.6434681130449782</v>
      </c>
      <c r="I9" s="44">
        <v>9.3891373521201622</v>
      </c>
      <c r="J9" s="44">
        <v>11.086847091777582</v>
      </c>
      <c r="K9" s="44">
        <v>12.259194395796849</v>
      </c>
      <c r="L9" s="44">
        <v>12.690245156491867</v>
      </c>
      <c r="M9" s="44">
        <v>12.226137582350237</v>
      </c>
      <c r="N9" s="44">
        <v>10.666923039385443</v>
      </c>
      <c r="O9" s="145">
        <v>11.226677445476737</v>
      </c>
      <c r="P9" s="145">
        <v>11.677980198901153</v>
      </c>
      <c r="Q9" s="71" t="s">
        <v>149</v>
      </c>
      <c r="R9" s="71" t="s">
        <v>149</v>
      </c>
      <c r="S9" s="71" t="s">
        <v>149</v>
      </c>
      <c r="T9" s="145">
        <v>0.17490145004530913</v>
      </c>
      <c r="U9" s="145">
        <v>0.16011649770633615</v>
      </c>
      <c r="V9" s="145">
        <v>0.16267737422692716</v>
      </c>
      <c r="W9" s="145">
        <v>0.15264073547294313</v>
      </c>
      <c r="X9" s="145">
        <v>0.15483806</v>
      </c>
    </row>
    <row r="10" spans="1:24" ht="15.75" customHeight="1">
      <c r="A10" s="9" t="s">
        <v>50</v>
      </c>
      <c r="B10" s="78">
        <v>2.1021222931655319</v>
      </c>
      <c r="C10" s="78">
        <v>2.981186930367774</v>
      </c>
      <c r="D10" s="78">
        <v>6.4936224224071557</v>
      </c>
      <c r="E10" s="78">
        <v>8.4232862017344257</v>
      </c>
      <c r="F10" s="78">
        <v>7.5493042023827934</v>
      </c>
      <c r="G10" s="78">
        <v>6.7482296574754157</v>
      </c>
      <c r="H10" s="78">
        <v>13.379824482144596</v>
      </c>
      <c r="I10" s="254">
        <v>9.2247663812165914</v>
      </c>
      <c r="J10" s="145">
        <v>10.721474406873417</v>
      </c>
      <c r="K10" s="145">
        <v>11.130580679144559</v>
      </c>
      <c r="L10" s="145">
        <v>13.085460491489243</v>
      </c>
      <c r="M10" s="145">
        <v>10.256708245955071</v>
      </c>
      <c r="N10" s="145">
        <v>11.4</v>
      </c>
      <c r="O10" s="145">
        <v>11.3</v>
      </c>
      <c r="P10" s="145">
        <v>9.5271280509101945</v>
      </c>
      <c r="Q10" s="145">
        <v>9.5184995404340142</v>
      </c>
      <c r="R10" s="145">
        <v>11.771774264210295</v>
      </c>
      <c r="S10" s="145">
        <v>12.04556058407095</v>
      </c>
      <c r="T10" s="145">
        <v>7.6965531708211659</v>
      </c>
      <c r="U10" s="145">
        <v>4.3535348598062594E-2</v>
      </c>
      <c r="V10" s="145">
        <v>0.10125662044909009</v>
      </c>
      <c r="W10" s="145">
        <v>0.10723764077353305</v>
      </c>
      <c r="X10" s="145">
        <v>0.11874357656521088</v>
      </c>
    </row>
    <row r="11" spans="1:24" ht="15.75" customHeight="1">
      <c r="A11" s="9" t="s">
        <v>6</v>
      </c>
      <c r="B11" s="78">
        <v>14.904459117304681</v>
      </c>
      <c r="C11" s="78">
        <v>16.194041257109586</v>
      </c>
      <c r="D11" s="78">
        <v>15.654114698898724</v>
      </c>
      <c r="E11" s="78">
        <v>13.420846733634725</v>
      </c>
      <c r="F11" s="78">
        <v>12.463146231893738</v>
      </c>
      <c r="G11" s="78">
        <v>12.741547896435124</v>
      </c>
      <c r="H11" s="78">
        <v>13.102462459957124</v>
      </c>
      <c r="I11" s="82">
        <v>13.195518898326339</v>
      </c>
      <c r="J11" s="82">
        <v>13.478315536922258</v>
      </c>
      <c r="K11" s="82">
        <v>11.1672019304462</v>
      </c>
      <c r="L11" s="82">
        <v>9.8296348896464814</v>
      </c>
      <c r="M11" s="82">
        <v>10.063154848815536</v>
      </c>
      <c r="N11" s="82">
        <v>10.536001807606251</v>
      </c>
      <c r="O11" s="145">
        <v>11.105015398689313</v>
      </c>
      <c r="P11" s="145">
        <v>11.03873806171562</v>
      </c>
      <c r="Q11" s="145">
        <v>8.7664406571044484</v>
      </c>
      <c r="R11" s="145">
        <v>8.1186265810197877</v>
      </c>
      <c r="S11" s="145">
        <v>7.4257809624012534</v>
      </c>
      <c r="T11" s="145">
        <v>6.89</v>
      </c>
      <c r="U11" s="71" t="s">
        <v>149</v>
      </c>
      <c r="V11" s="71" t="s">
        <v>149</v>
      </c>
      <c r="W11" s="71" t="s">
        <v>149</v>
      </c>
      <c r="X11" s="71" t="s">
        <v>149</v>
      </c>
    </row>
    <row r="12" spans="1:24" ht="15.75" customHeight="1">
      <c r="A12" s="9" t="s">
        <v>7</v>
      </c>
      <c r="B12" s="71" t="s">
        <v>149</v>
      </c>
      <c r="C12" s="71" t="s">
        <v>149</v>
      </c>
      <c r="D12" s="71" t="s">
        <v>149</v>
      </c>
      <c r="E12" s="71" t="s">
        <v>149</v>
      </c>
      <c r="F12" s="71" t="s">
        <v>149</v>
      </c>
      <c r="G12" s="71" t="s">
        <v>149</v>
      </c>
      <c r="H12" s="78">
        <v>16.419219882319567</v>
      </c>
      <c r="I12" s="71" t="s">
        <v>149</v>
      </c>
      <c r="J12" s="82">
        <v>16.253424310584816</v>
      </c>
      <c r="K12" s="82">
        <v>16.905570110947878</v>
      </c>
      <c r="L12" s="82">
        <v>16.593012123803916</v>
      </c>
      <c r="M12" s="82">
        <v>15.327220614426142</v>
      </c>
      <c r="N12" s="82">
        <v>14.930196230743237</v>
      </c>
      <c r="O12" s="145">
        <v>13.916589008166172</v>
      </c>
      <c r="P12" s="145">
        <v>14.072921203721203</v>
      </c>
      <c r="Q12" s="145">
        <v>14.030641576794473</v>
      </c>
      <c r="R12" s="145">
        <v>13.023187732016916</v>
      </c>
      <c r="S12" s="145">
        <v>12.903878672990441</v>
      </c>
      <c r="T12" s="145">
        <v>12.461377747331765</v>
      </c>
      <c r="U12" s="145">
        <v>8.1536077539443941</v>
      </c>
      <c r="V12" s="145">
        <v>7.4270457128905258</v>
      </c>
      <c r="W12" s="673">
        <v>6.8469364657786027</v>
      </c>
      <c r="X12" s="673" t="s">
        <v>149</v>
      </c>
    </row>
    <row r="13" spans="1:24" ht="15.75" customHeight="1">
      <c r="A13" s="9" t="s">
        <v>369</v>
      </c>
      <c r="B13" s="71" t="s">
        <v>149</v>
      </c>
      <c r="C13" s="71" t="s">
        <v>149</v>
      </c>
      <c r="D13" s="71" t="s">
        <v>149</v>
      </c>
      <c r="E13" s="71" t="s">
        <v>149</v>
      </c>
      <c r="F13" s="71" t="s">
        <v>149</v>
      </c>
      <c r="G13" s="71" t="s">
        <v>149</v>
      </c>
      <c r="H13" s="78">
        <v>5.4904359078367715E-2</v>
      </c>
      <c r="I13" s="71" t="s">
        <v>149</v>
      </c>
      <c r="J13" s="71" t="s">
        <v>149</v>
      </c>
      <c r="K13" s="71" t="s">
        <v>149</v>
      </c>
      <c r="L13" s="71" t="s">
        <v>149</v>
      </c>
      <c r="M13" s="71">
        <v>5.0999999999999996</v>
      </c>
      <c r="N13" s="71">
        <v>4.7300000000000004</v>
      </c>
      <c r="O13" s="145">
        <v>2.15</v>
      </c>
      <c r="P13" s="145">
        <v>8.81</v>
      </c>
      <c r="Q13" s="145">
        <v>6.28</v>
      </c>
      <c r="R13" s="145">
        <v>7.5</v>
      </c>
      <c r="S13" s="145">
        <v>7</v>
      </c>
      <c r="T13" s="145">
        <v>0.232299278904322</v>
      </c>
      <c r="U13" s="145">
        <v>10.5</v>
      </c>
      <c r="V13" s="145">
        <v>5.92</v>
      </c>
      <c r="W13" s="145">
        <v>3.84</v>
      </c>
      <c r="X13" s="145">
        <v>7.0572916666666696</v>
      </c>
    </row>
    <row r="14" spans="1:24" ht="15.75" customHeight="1">
      <c r="A14" s="9" t="s">
        <v>363</v>
      </c>
      <c r="B14" s="71" t="s">
        <v>149</v>
      </c>
      <c r="C14" s="71" t="s">
        <v>149</v>
      </c>
      <c r="D14" s="71" t="s">
        <v>149</v>
      </c>
      <c r="E14" s="71" t="s">
        <v>149</v>
      </c>
      <c r="F14" s="71" t="s">
        <v>149</v>
      </c>
      <c r="G14" s="71" t="s">
        <v>149</v>
      </c>
      <c r="H14" s="71" t="s">
        <v>149</v>
      </c>
      <c r="I14" s="71" t="s">
        <v>149</v>
      </c>
      <c r="J14" s="71" t="s">
        <v>149</v>
      </c>
      <c r="K14" s="71" t="s">
        <v>149</v>
      </c>
      <c r="L14" s="71" t="s">
        <v>149</v>
      </c>
      <c r="M14" s="71" t="s">
        <v>149</v>
      </c>
      <c r="N14" s="71">
        <v>7.07</v>
      </c>
      <c r="O14" s="145">
        <v>4.5</v>
      </c>
      <c r="P14" s="145">
        <v>4.3</v>
      </c>
      <c r="Q14" s="145">
        <v>3.9</v>
      </c>
      <c r="R14" s="145">
        <v>3.8</v>
      </c>
      <c r="S14" s="71" t="s">
        <v>149</v>
      </c>
      <c r="T14" s="71" t="s">
        <v>149</v>
      </c>
      <c r="U14" s="71" t="s">
        <v>149</v>
      </c>
      <c r="V14" s="71" t="s">
        <v>149</v>
      </c>
      <c r="W14" s="71" t="s">
        <v>149</v>
      </c>
      <c r="X14" s="71" t="s">
        <v>149</v>
      </c>
    </row>
    <row r="15" spans="1:24" ht="15.75" customHeight="1">
      <c r="A15" s="9" t="s">
        <v>8</v>
      </c>
      <c r="B15" s="78">
        <v>27.571334958273862</v>
      </c>
      <c r="C15" s="78">
        <v>27.301449608477274</v>
      </c>
      <c r="D15" s="78">
        <v>24.583365806727688</v>
      </c>
      <c r="E15" s="78">
        <v>14.776831047350081</v>
      </c>
      <c r="F15" s="78">
        <v>12.298720225436698</v>
      </c>
      <c r="G15" s="78">
        <v>15.560757858865726</v>
      </c>
      <c r="H15" s="78">
        <v>16.578158880771845</v>
      </c>
      <c r="I15" s="78">
        <v>17.623121946191198</v>
      </c>
      <c r="J15" s="78">
        <v>18.943135817288482</v>
      </c>
      <c r="K15" s="78">
        <v>19.333427706523128</v>
      </c>
      <c r="L15" s="78">
        <v>17.60285387464312</v>
      </c>
      <c r="M15" s="78">
        <v>14.981615711463681</v>
      </c>
      <c r="N15" s="78">
        <v>13.5</v>
      </c>
      <c r="O15" s="145">
        <v>13.180085652101404</v>
      </c>
      <c r="P15" s="145">
        <v>12.152254083754974</v>
      </c>
      <c r="Q15" s="145">
        <v>10.25488696143792</v>
      </c>
      <c r="R15" s="145">
        <v>9.4745024017755011</v>
      </c>
      <c r="S15" s="145">
        <v>10.344528463763373</v>
      </c>
      <c r="T15" s="145">
        <v>8.5302922774219034</v>
      </c>
      <c r="U15" s="145">
        <v>8.114051910513119</v>
      </c>
      <c r="V15" s="145">
        <v>7.6979534514064234</v>
      </c>
      <c r="W15" s="145">
        <v>7.3740685918133364</v>
      </c>
      <c r="X15" s="145">
        <v>7.1555011961120396</v>
      </c>
    </row>
    <row r="16" spans="1:24" ht="15.75" customHeight="1">
      <c r="A16" s="9" t="s">
        <v>82</v>
      </c>
      <c r="B16" s="78">
        <v>12.301378804249127</v>
      </c>
      <c r="C16" s="78">
        <v>8.6921677085816764</v>
      </c>
      <c r="D16" s="78">
        <v>8.3878880700111047</v>
      </c>
      <c r="E16" s="78">
        <v>8.7721800142360511</v>
      </c>
      <c r="F16" s="78">
        <v>8.6188429114477554</v>
      </c>
      <c r="G16" s="78">
        <v>10.287360720203413</v>
      </c>
      <c r="H16" s="78">
        <v>17.242343880283602</v>
      </c>
      <c r="I16" s="71" t="s">
        <v>149</v>
      </c>
      <c r="J16" s="82">
        <v>18.761194985209425</v>
      </c>
      <c r="K16" s="82">
        <v>26.604379741723299</v>
      </c>
      <c r="L16" s="82">
        <v>31.399615916757504</v>
      </c>
      <c r="M16" s="82">
        <v>22.506488711688284</v>
      </c>
      <c r="N16" s="82">
        <v>19.291511560752504</v>
      </c>
      <c r="O16" s="145">
        <v>24.524372759417801</v>
      </c>
      <c r="P16" s="145">
        <v>23.494388739747812</v>
      </c>
      <c r="Q16" s="145">
        <v>13.15973165251031</v>
      </c>
      <c r="R16" s="71" t="s">
        <v>149</v>
      </c>
      <c r="S16" s="145">
        <v>15.135254623724794</v>
      </c>
      <c r="T16" s="145">
        <v>6.6393546144162299</v>
      </c>
      <c r="U16" s="145">
        <v>11.060381417670801</v>
      </c>
      <c r="V16" s="145">
        <v>14.417323773034701</v>
      </c>
      <c r="W16" s="145">
        <v>13.966890773672301</v>
      </c>
      <c r="X16" s="145">
        <v>16.379563777494099</v>
      </c>
    </row>
    <row r="17" spans="1:24" ht="15.75" customHeight="1">
      <c r="A17" s="9" t="s">
        <v>9</v>
      </c>
      <c r="B17" s="78">
        <v>13.128613584972385</v>
      </c>
      <c r="C17" s="78">
        <v>13.368024622154454</v>
      </c>
      <c r="D17" s="78">
        <v>12.955363267928737</v>
      </c>
      <c r="E17" s="78">
        <v>12.961969004877574</v>
      </c>
      <c r="F17" s="78">
        <v>12.683055750136738</v>
      </c>
      <c r="G17" s="78">
        <v>12.134701920944549</v>
      </c>
      <c r="H17" s="78">
        <v>11.756898175382167</v>
      </c>
      <c r="I17" s="71" t="s">
        <v>149</v>
      </c>
      <c r="J17" s="71" t="s">
        <v>149</v>
      </c>
      <c r="K17" s="82">
        <v>9.9</v>
      </c>
      <c r="L17" s="82">
        <v>9.6610842025784418</v>
      </c>
      <c r="M17" s="82">
        <v>9.4154708705684431</v>
      </c>
      <c r="N17" s="82">
        <v>8.8950844666177247</v>
      </c>
      <c r="O17" s="145">
        <v>10.377254431318221</v>
      </c>
      <c r="P17" s="145">
        <v>8.3600617083518394</v>
      </c>
      <c r="Q17" s="145">
        <v>9.4681616678919713</v>
      </c>
      <c r="R17" s="145">
        <v>8.2920289548539596</v>
      </c>
      <c r="S17" s="145">
        <v>5.5801723220718653</v>
      </c>
      <c r="T17" s="145">
        <v>5.3334076656702116</v>
      </c>
      <c r="U17" s="145">
        <v>5.1889445580001432</v>
      </c>
      <c r="V17" s="145">
        <v>5.226654727175414</v>
      </c>
      <c r="W17" s="145">
        <v>3.709114264559251</v>
      </c>
      <c r="X17" s="145">
        <v>3.7833949648596641</v>
      </c>
    </row>
    <row r="18" spans="1:24" ht="8.1" customHeight="1">
      <c r="A18" s="9"/>
      <c r="B18" s="257"/>
      <c r="C18" s="257"/>
      <c r="D18" s="257"/>
      <c r="E18" s="257"/>
      <c r="F18" s="257"/>
      <c r="G18" s="257"/>
      <c r="H18" s="184"/>
    </row>
    <row r="19" spans="1:24" s="11" customFormat="1" ht="15.75" customHeight="1">
      <c r="A19" s="85" t="s">
        <v>10</v>
      </c>
      <c r="B19" s="573"/>
      <c r="C19" s="573"/>
      <c r="D19" s="573"/>
      <c r="E19" s="573"/>
      <c r="F19" s="573"/>
      <c r="G19" s="573"/>
      <c r="H19" s="573"/>
      <c r="I19" s="573"/>
      <c r="J19" s="573"/>
      <c r="K19" s="573"/>
      <c r="L19" s="573"/>
      <c r="M19" s="573"/>
      <c r="N19" s="573"/>
      <c r="O19" s="573"/>
      <c r="P19" s="573"/>
      <c r="Q19" s="512"/>
      <c r="R19" s="512"/>
      <c r="S19" s="512"/>
      <c r="T19" s="512"/>
      <c r="U19" s="512"/>
      <c r="V19" s="512"/>
      <c r="W19" s="512"/>
      <c r="X19" s="512"/>
    </row>
    <row r="20" spans="1:24" ht="8.1" customHeight="1">
      <c r="B20" s="12"/>
      <c r="C20" s="12"/>
      <c r="D20" s="12"/>
      <c r="E20" s="12"/>
      <c r="F20" s="240"/>
      <c r="G20" s="12"/>
      <c r="H20" s="184"/>
    </row>
    <row r="21" spans="1:24">
      <c r="A21" s="29" t="s">
        <v>108</v>
      </c>
      <c r="B21" s="313"/>
      <c r="C21" s="313"/>
      <c r="D21" s="313"/>
      <c r="E21" s="313"/>
      <c r="F21" s="313"/>
      <c r="G21" s="313"/>
    </row>
    <row r="22" spans="1:24">
      <c r="A22" s="132"/>
    </row>
    <row r="23" spans="1:24" ht="15.75" customHeight="1"/>
    <row r="24" spans="1:24" ht="15.75" customHeight="1"/>
    <row r="25" spans="1:24" ht="15.75" customHeight="1">
      <c r="A25" s="150"/>
    </row>
    <row r="26" spans="1:24" ht="15.75" customHeight="1">
      <c r="A26" s="150"/>
    </row>
    <row r="27" spans="1:24" ht="15.75" customHeight="1">
      <c r="A27" s="150"/>
    </row>
    <row r="28" spans="1:24" ht="15.75" customHeight="1">
      <c r="A28" s="150"/>
    </row>
    <row r="29" spans="1:24" ht="15.75" customHeight="1">
      <c r="A29" s="150"/>
    </row>
    <row r="30" spans="1:24" ht="15.75" customHeight="1"/>
    <row r="31" spans="1:24" ht="15.75" customHeight="1"/>
  </sheetData>
  <phoneticPr fontId="9" type="noConversion"/>
  <pageMargins left="0.74803149606299213" right="0.74803149606299213" top="0.98425196850393704" bottom="0.98425196850393704" header="0.51181102362204722" footer="0.51181102362204722"/>
  <pageSetup scale="90" orientation="landscape" r:id="rId1"/>
  <headerFooter alignWithMargins="0">
    <oddHeader>&amp;A</oddHeader>
    <oddFooter>&amp;L&amp;F&amp;R&amp;D</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DN57"/>
  <sheetViews>
    <sheetView showGridLines="0" zoomScale="60" zoomScaleNormal="60" workbookViewId="0">
      <pane ySplit="1" topLeftCell="A2" activePane="bottomLeft" state="frozen"/>
      <selection activeCell="B1" sqref="B1"/>
      <selection pane="bottomLeft" activeCell="A2" sqref="A2"/>
    </sheetView>
  </sheetViews>
  <sheetFormatPr baseColWidth="10" defaultColWidth="14.125" defaultRowHeight="15"/>
  <cols>
    <col min="1" max="1" width="12.625" style="13" customWidth="1"/>
    <col min="2" max="2" width="11.625" style="13" customWidth="1"/>
    <col min="3" max="6" width="11.625" style="29" customWidth="1"/>
    <col min="7" max="7" width="8.625" style="29" customWidth="1"/>
    <col min="8" max="13" width="11.625" style="29" customWidth="1"/>
    <col min="14" max="14" width="8.625" style="29" customWidth="1"/>
    <col min="15" max="20" width="11.625" style="29" customWidth="1"/>
    <col min="21" max="21" width="8.625" style="29" customWidth="1"/>
    <col min="22" max="27" width="11.625" style="29" customWidth="1"/>
    <col min="28" max="28" width="8.625" style="29" customWidth="1"/>
    <col min="29" max="29" width="15.75" style="29" customWidth="1"/>
    <col min="30" max="34" width="11.625" style="29" customWidth="1"/>
    <col min="35" max="35" width="8.625" style="29" customWidth="1"/>
    <col min="36" max="36" width="16.125" style="29" customWidth="1"/>
    <col min="37" max="41" width="11.625" style="29" customWidth="1"/>
    <col min="42" max="42" width="14.125" style="29"/>
    <col min="43" max="43" width="16.125" style="29" customWidth="1"/>
    <col min="44" max="98" width="14.125" style="29"/>
    <col min="99" max="99" width="21" style="29" customWidth="1"/>
    <col min="100" max="16384" width="14.125" style="29"/>
  </cols>
  <sheetData>
    <row r="1" spans="1:118">
      <c r="A1" s="12" t="s">
        <v>332</v>
      </c>
      <c r="B1" s="29"/>
      <c r="H1" s="12" t="s">
        <v>333</v>
      </c>
      <c r="O1" s="12" t="s">
        <v>334</v>
      </c>
      <c r="V1" s="12" t="s">
        <v>335</v>
      </c>
      <c r="AC1" s="12" t="s">
        <v>336</v>
      </c>
      <c r="AJ1" s="12" t="s">
        <v>337</v>
      </c>
      <c r="AQ1" s="12" t="s">
        <v>360</v>
      </c>
      <c r="AX1" s="12" t="s">
        <v>377</v>
      </c>
      <c r="BE1" s="12" t="s">
        <v>389</v>
      </c>
      <c r="BL1" s="12" t="s">
        <v>425</v>
      </c>
      <c r="BS1" s="12" t="s">
        <v>447</v>
      </c>
      <c r="BZ1" s="12" t="s">
        <v>472</v>
      </c>
      <c r="CG1" s="12" t="s">
        <v>485</v>
      </c>
      <c r="CN1" s="12" t="s">
        <v>495</v>
      </c>
      <c r="CU1" s="12" t="s">
        <v>507</v>
      </c>
      <c r="DB1" s="12" t="s">
        <v>526</v>
      </c>
      <c r="DI1" s="12" t="s">
        <v>538</v>
      </c>
    </row>
    <row r="2" spans="1:118">
      <c r="A2" s="29"/>
      <c r="B2" s="29"/>
    </row>
    <row r="3" spans="1:118">
      <c r="A3" s="9" t="s">
        <v>245</v>
      </c>
      <c r="B3" s="9"/>
      <c r="H3" s="9" t="s">
        <v>246</v>
      </c>
      <c r="I3" s="9"/>
      <c r="O3" s="9" t="s">
        <v>246</v>
      </c>
      <c r="P3" s="9"/>
      <c r="V3" s="9" t="s">
        <v>246</v>
      </c>
      <c r="W3" s="9"/>
      <c r="AC3" s="9" t="s">
        <v>246</v>
      </c>
      <c r="AD3" s="9"/>
      <c r="AJ3" s="9" t="s">
        <v>246</v>
      </c>
      <c r="AK3" s="9"/>
      <c r="AQ3" s="9" t="s">
        <v>246</v>
      </c>
      <c r="AR3" s="9"/>
      <c r="AX3" s="9" t="s">
        <v>246</v>
      </c>
      <c r="AY3" s="9"/>
      <c r="BE3" s="9" t="s">
        <v>246</v>
      </c>
      <c r="BF3" s="9"/>
      <c r="BL3" s="9" t="s">
        <v>246</v>
      </c>
      <c r="BM3" s="9"/>
      <c r="BS3" s="9" t="s">
        <v>246</v>
      </c>
      <c r="BT3" s="9"/>
      <c r="BZ3" s="9" t="s">
        <v>246</v>
      </c>
      <c r="CA3" s="9"/>
      <c r="CG3" s="9" t="s">
        <v>246</v>
      </c>
      <c r="CH3" s="9"/>
      <c r="CN3" s="9" t="s">
        <v>246</v>
      </c>
      <c r="CO3" s="9"/>
      <c r="CU3" s="9" t="s">
        <v>246</v>
      </c>
      <c r="CV3" s="9"/>
      <c r="DB3" s="9" t="s">
        <v>246</v>
      </c>
      <c r="DC3" s="9"/>
      <c r="DI3" s="9" t="s">
        <v>246</v>
      </c>
      <c r="DJ3" s="9"/>
    </row>
    <row r="4" spans="1:118" ht="8.1" customHeight="1">
      <c r="A4" s="29"/>
      <c r="B4" s="29"/>
    </row>
    <row r="5" spans="1:118" ht="39" customHeight="1">
      <c r="A5" s="713" t="s">
        <v>0</v>
      </c>
      <c r="B5" s="265" t="s">
        <v>247</v>
      </c>
      <c r="C5" s="265" t="s">
        <v>248</v>
      </c>
      <c r="D5" s="265" t="s">
        <v>249</v>
      </c>
      <c r="E5" s="265" t="s">
        <v>250</v>
      </c>
      <c r="F5" s="265" t="s">
        <v>251</v>
      </c>
      <c r="H5" s="713" t="s">
        <v>0</v>
      </c>
      <c r="I5" s="265" t="s">
        <v>247</v>
      </c>
      <c r="J5" s="265" t="s">
        <v>248</v>
      </c>
      <c r="K5" s="265" t="s">
        <v>249</v>
      </c>
      <c r="L5" s="265" t="s">
        <v>250</v>
      </c>
      <c r="M5" s="265" t="s">
        <v>251</v>
      </c>
      <c r="O5" s="713" t="s">
        <v>0</v>
      </c>
      <c r="P5" s="265" t="s">
        <v>247</v>
      </c>
      <c r="Q5" s="265" t="s">
        <v>248</v>
      </c>
      <c r="R5" s="265" t="s">
        <v>249</v>
      </c>
      <c r="S5" s="265" t="s">
        <v>250</v>
      </c>
      <c r="T5" s="265" t="s">
        <v>251</v>
      </c>
      <c r="V5" s="713" t="s">
        <v>0</v>
      </c>
      <c r="W5" s="265" t="s">
        <v>247</v>
      </c>
      <c r="X5" s="265" t="s">
        <v>248</v>
      </c>
      <c r="Y5" s="265" t="s">
        <v>249</v>
      </c>
      <c r="Z5" s="265" t="s">
        <v>250</v>
      </c>
      <c r="AA5" s="265" t="s">
        <v>251</v>
      </c>
      <c r="AC5" s="713" t="s">
        <v>0</v>
      </c>
      <c r="AD5" s="265" t="s">
        <v>247</v>
      </c>
      <c r="AE5" s="265" t="s">
        <v>248</v>
      </c>
      <c r="AF5" s="265" t="s">
        <v>249</v>
      </c>
      <c r="AG5" s="265" t="s">
        <v>250</v>
      </c>
      <c r="AH5" s="265" t="s">
        <v>251</v>
      </c>
      <c r="AJ5" s="713" t="s">
        <v>0</v>
      </c>
      <c r="AK5" s="265" t="s">
        <v>247</v>
      </c>
      <c r="AL5" s="265" t="s">
        <v>248</v>
      </c>
      <c r="AM5" s="265" t="s">
        <v>249</v>
      </c>
      <c r="AN5" s="265" t="s">
        <v>250</v>
      </c>
      <c r="AO5" s="265" t="s">
        <v>251</v>
      </c>
      <c r="AQ5" s="713" t="s">
        <v>0</v>
      </c>
      <c r="AR5" s="265" t="s">
        <v>247</v>
      </c>
      <c r="AS5" s="265" t="s">
        <v>248</v>
      </c>
      <c r="AT5" s="265" t="s">
        <v>249</v>
      </c>
      <c r="AU5" s="265" t="s">
        <v>250</v>
      </c>
      <c r="AV5" s="265" t="s">
        <v>251</v>
      </c>
      <c r="AX5" s="713" t="s">
        <v>0</v>
      </c>
      <c r="AY5" s="265" t="s">
        <v>247</v>
      </c>
      <c r="AZ5" s="265" t="s">
        <v>248</v>
      </c>
      <c r="BA5" s="265" t="s">
        <v>249</v>
      </c>
      <c r="BB5" s="265" t="s">
        <v>250</v>
      </c>
      <c r="BC5" s="265" t="s">
        <v>251</v>
      </c>
      <c r="BE5" s="713" t="s">
        <v>0</v>
      </c>
      <c r="BF5" s="265" t="s">
        <v>247</v>
      </c>
      <c r="BG5" s="265" t="s">
        <v>248</v>
      </c>
      <c r="BH5" s="265" t="s">
        <v>249</v>
      </c>
      <c r="BI5" s="265" t="s">
        <v>250</v>
      </c>
      <c r="BJ5" s="265" t="s">
        <v>251</v>
      </c>
      <c r="BL5" s="713" t="s">
        <v>0</v>
      </c>
      <c r="BM5" s="265" t="s">
        <v>247</v>
      </c>
      <c r="BN5" s="265" t="s">
        <v>248</v>
      </c>
      <c r="BO5" s="265" t="s">
        <v>249</v>
      </c>
      <c r="BP5" s="265" t="s">
        <v>250</v>
      </c>
      <c r="BQ5" s="265" t="s">
        <v>251</v>
      </c>
      <c r="BS5" s="713" t="s">
        <v>0</v>
      </c>
      <c r="BT5" s="265" t="s">
        <v>247</v>
      </c>
      <c r="BU5" s="265" t="s">
        <v>248</v>
      </c>
      <c r="BV5" s="265" t="s">
        <v>249</v>
      </c>
      <c r="BW5" s="265" t="s">
        <v>250</v>
      </c>
      <c r="BX5" s="265" t="s">
        <v>251</v>
      </c>
      <c r="BZ5" s="713" t="s">
        <v>0</v>
      </c>
      <c r="CA5" s="265" t="s">
        <v>247</v>
      </c>
      <c r="CB5" s="265" t="s">
        <v>248</v>
      </c>
      <c r="CC5" s="265" t="s">
        <v>249</v>
      </c>
      <c r="CD5" s="265" t="s">
        <v>250</v>
      </c>
      <c r="CE5" s="265" t="s">
        <v>251</v>
      </c>
      <c r="CG5" s="713" t="s">
        <v>0</v>
      </c>
      <c r="CH5" s="265" t="s">
        <v>247</v>
      </c>
      <c r="CI5" s="265" t="s">
        <v>248</v>
      </c>
      <c r="CJ5" s="265" t="s">
        <v>249</v>
      </c>
      <c r="CK5" s="265" t="s">
        <v>250</v>
      </c>
      <c r="CL5" s="265" t="s">
        <v>251</v>
      </c>
      <c r="CN5" s="713" t="s">
        <v>0</v>
      </c>
      <c r="CO5" s="265" t="s">
        <v>247</v>
      </c>
      <c r="CP5" s="265" t="s">
        <v>248</v>
      </c>
      <c r="CQ5" s="265" t="s">
        <v>249</v>
      </c>
      <c r="CR5" s="265" t="s">
        <v>250</v>
      </c>
      <c r="CS5" s="265" t="s">
        <v>251</v>
      </c>
      <c r="CU5" s="713" t="s">
        <v>0</v>
      </c>
      <c r="CV5" s="265" t="s">
        <v>247</v>
      </c>
      <c r="CW5" s="265" t="s">
        <v>248</v>
      </c>
      <c r="CX5" s="265" t="s">
        <v>249</v>
      </c>
      <c r="CY5" s="265" t="s">
        <v>250</v>
      </c>
      <c r="CZ5" s="265" t="s">
        <v>251</v>
      </c>
      <c r="DB5" s="713" t="s">
        <v>0</v>
      </c>
      <c r="DC5" s="265" t="s">
        <v>247</v>
      </c>
      <c r="DD5" s="265" t="s">
        <v>248</v>
      </c>
      <c r="DE5" s="265" t="s">
        <v>249</v>
      </c>
      <c r="DF5" s="265" t="s">
        <v>250</v>
      </c>
      <c r="DG5" s="265" t="s">
        <v>251</v>
      </c>
      <c r="DI5" s="713" t="s">
        <v>0</v>
      </c>
      <c r="DJ5" s="265" t="s">
        <v>247</v>
      </c>
      <c r="DK5" s="265" t="s">
        <v>248</v>
      </c>
      <c r="DL5" s="265" t="s">
        <v>249</v>
      </c>
      <c r="DM5" s="265" t="s">
        <v>250</v>
      </c>
      <c r="DN5" s="265" t="s">
        <v>251</v>
      </c>
    </row>
    <row r="6" spans="1:118" ht="27.95" customHeight="1">
      <c r="A6" s="705"/>
      <c r="B6" s="265" t="s">
        <v>252</v>
      </c>
      <c r="C6" s="265" t="s">
        <v>252</v>
      </c>
      <c r="D6" s="265" t="s">
        <v>253</v>
      </c>
      <c r="E6" s="265" t="s">
        <v>254</v>
      </c>
      <c r="F6" s="265" t="s">
        <v>255</v>
      </c>
      <c r="H6" s="705"/>
      <c r="I6" s="265" t="s">
        <v>252</v>
      </c>
      <c r="J6" s="265" t="s">
        <v>252</v>
      </c>
      <c r="K6" s="265" t="s">
        <v>253</v>
      </c>
      <c r="L6" s="265" t="s">
        <v>254</v>
      </c>
      <c r="M6" s="265" t="s">
        <v>255</v>
      </c>
      <c r="O6" s="705"/>
      <c r="P6" s="265" t="s">
        <v>252</v>
      </c>
      <c r="Q6" s="265" t="s">
        <v>252</v>
      </c>
      <c r="R6" s="265" t="s">
        <v>253</v>
      </c>
      <c r="S6" s="265" t="s">
        <v>254</v>
      </c>
      <c r="T6" s="265" t="s">
        <v>255</v>
      </c>
      <c r="V6" s="705"/>
      <c r="W6" s="265" t="s">
        <v>252</v>
      </c>
      <c r="X6" s="265" t="s">
        <v>252</v>
      </c>
      <c r="Y6" s="265" t="s">
        <v>253</v>
      </c>
      <c r="Z6" s="265" t="s">
        <v>254</v>
      </c>
      <c r="AA6" s="265" t="s">
        <v>255</v>
      </c>
      <c r="AC6" s="705"/>
      <c r="AD6" s="265" t="s">
        <v>252</v>
      </c>
      <c r="AE6" s="265" t="s">
        <v>252</v>
      </c>
      <c r="AF6" s="265" t="s">
        <v>253</v>
      </c>
      <c r="AG6" s="265" t="s">
        <v>254</v>
      </c>
      <c r="AH6" s="265" t="s">
        <v>255</v>
      </c>
      <c r="AJ6" s="705"/>
      <c r="AK6" s="265" t="s">
        <v>252</v>
      </c>
      <c r="AL6" s="265" t="s">
        <v>252</v>
      </c>
      <c r="AM6" s="265" t="s">
        <v>253</v>
      </c>
      <c r="AN6" s="265" t="s">
        <v>254</v>
      </c>
      <c r="AO6" s="265" t="s">
        <v>255</v>
      </c>
      <c r="AQ6" s="705"/>
      <c r="AR6" s="265" t="s">
        <v>252</v>
      </c>
      <c r="AS6" s="265" t="s">
        <v>252</v>
      </c>
      <c r="AT6" s="265" t="s">
        <v>253</v>
      </c>
      <c r="AU6" s="265" t="s">
        <v>254</v>
      </c>
      <c r="AV6" s="265" t="s">
        <v>255</v>
      </c>
      <c r="AX6" s="705"/>
      <c r="AY6" s="265" t="s">
        <v>252</v>
      </c>
      <c r="AZ6" s="265" t="s">
        <v>252</v>
      </c>
      <c r="BA6" s="265" t="s">
        <v>253</v>
      </c>
      <c r="BB6" s="265" t="s">
        <v>254</v>
      </c>
      <c r="BC6" s="265" t="s">
        <v>255</v>
      </c>
      <c r="BE6" s="705"/>
      <c r="BF6" s="265" t="s">
        <v>252</v>
      </c>
      <c r="BG6" s="265" t="s">
        <v>252</v>
      </c>
      <c r="BH6" s="265" t="s">
        <v>253</v>
      </c>
      <c r="BI6" s="265" t="s">
        <v>254</v>
      </c>
      <c r="BJ6" s="265" t="s">
        <v>255</v>
      </c>
      <c r="BL6" s="705"/>
      <c r="BM6" s="265" t="s">
        <v>252</v>
      </c>
      <c r="BN6" s="265" t="s">
        <v>252</v>
      </c>
      <c r="BO6" s="265" t="s">
        <v>253</v>
      </c>
      <c r="BP6" s="265" t="s">
        <v>254</v>
      </c>
      <c r="BQ6" s="265" t="s">
        <v>255</v>
      </c>
      <c r="BS6" s="705"/>
      <c r="BT6" s="265" t="s">
        <v>252</v>
      </c>
      <c r="BU6" s="265" t="s">
        <v>252</v>
      </c>
      <c r="BV6" s="265" t="s">
        <v>253</v>
      </c>
      <c r="BW6" s="265" t="s">
        <v>254</v>
      </c>
      <c r="BX6" s="265" t="s">
        <v>255</v>
      </c>
      <c r="BZ6" s="705"/>
      <c r="CA6" s="265" t="s">
        <v>252</v>
      </c>
      <c r="CB6" s="265" t="s">
        <v>252</v>
      </c>
      <c r="CC6" s="265" t="s">
        <v>253</v>
      </c>
      <c r="CD6" s="265" t="s">
        <v>254</v>
      </c>
      <c r="CE6" s="265" t="s">
        <v>255</v>
      </c>
      <c r="CG6" s="705"/>
      <c r="CH6" s="265" t="s">
        <v>252</v>
      </c>
      <c r="CI6" s="265" t="s">
        <v>252</v>
      </c>
      <c r="CJ6" s="265" t="s">
        <v>253</v>
      </c>
      <c r="CK6" s="265" t="s">
        <v>254</v>
      </c>
      <c r="CL6" s="265" t="s">
        <v>255</v>
      </c>
      <c r="CN6" s="705"/>
      <c r="CO6" s="265" t="s">
        <v>252</v>
      </c>
      <c r="CP6" s="265" t="s">
        <v>252</v>
      </c>
      <c r="CQ6" s="265" t="s">
        <v>253</v>
      </c>
      <c r="CR6" s="265" t="s">
        <v>254</v>
      </c>
      <c r="CS6" s="265" t="s">
        <v>255</v>
      </c>
      <c r="CU6" s="705"/>
      <c r="CV6" s="265" t="s">
        <v>252</v>
      </c>
      <c r="CW6" s="265" t="s">
        <v>252</v>
      </c>
      <c r="CX6" s="265" t="s">
        <v>253</v>
      </c>
      <c r="CY6" s="265" t="s">
        <v>254</v>
      </c>
      <c r="CZ6" s="265" t="s">
        <v>255</v>
      </c>
      <c r="DB6" s="705"/>
      <c r="DC6" s="265" t="s">
        <v>252</v>
      </c>
      <c r="DD6" s="265" t="s">
        <v>252</v>
      </c>
      <c r="DE6" s="265" t="s">
        <v>253</v>
      </c>
      <c r="DF6" s="265" t="s">
        <v>254</v>
      </c>
      <c r="DG6" s="265" t="s">
        <v>255</v>
      </c>
      <c r="DI6" s="705"/>
      <c r="DJ6" s="265" t="s">
        <v>252</v>
      </c>
      <c r="DK6" s="265" t="s">
        <v>252</v>
      </c>
      <c r="DL6" s="265" t="s">
        <v>253</v>
      </c>
      <c r="DM6" s="265" t="s">
        <v>254</v>
      </c>
      <c r="DN6" s="265" t="s">
        <v>255</v>
      </c>
    </row>
    <row r="7" spans="1:118" ht="17.25">
      <c r="A7" s="266" t="s">
        <v>433</v>
      </c>
      <c r="B7" s="360" t="s">
        <v>149</v>
      </c>
      <c r="C7" s="367" t="s">
        <v>149</v>
      </c>
      <c r="D7" s="367" t="s">
        <v>149</v>
      </c>
      <c r="E7" s="367" t="s">
        <v>149</v>
      </c>
      <c r="F7" s="367" t="s">
        <v>149</v>
      </c>
      <c r="H7" s="266" t="s">
        <v>221</v>
      </c>
      <c r="I7" s="360" t="s">
        <v>149</v>
      </c>
      <c r="J7" s="367" t="s">
        <v>149</v>
      </c>
      <c r="K7" s="367" t="s">
        <v>149</v>
      </c>
      <c r="L7" s="367" t="s">
        <v>149</v>
      </c>
      <c r="M7" s="367" t="s">
        <v>149</v>
      </c>
      <c r="O7" s="266" t="s">
        <v>221</v>
      </c>
      <c r="P7" s="360" t="s">
        <v>149</v>
      </c>
      <c r="Q7" s="367" t="s">
        <v>149</v>
      </c>
      <c r="R7" s="367" t="s">
        <v>149</v>
      </c>
      <c r="S7" s="367" t="s">
        <v>149</v>
      </c>
      <c r="T7" s="367" t="s">
        <v>149</v>
      </c>
      <c r="V7" s="266" t="s">
        <v>221</v>
      </c>
      <c r="W7" s="360">
        <v>10</v>
      </c>
      <c r="X7" s="367">
        <v>1.41</v>
      </c>
      <c r="Y7" s="367" t="s">
        <v>517</v>
      </c>
      <c r="Z7" s="367" t="s">
        <v>517</v>
      </c>
      <c r="AA7" s="367" t="s">
        <v>517</v>
      </c>
      <c r="AC7" s="266" t="s">
        <v>221</v>
      </c>
      <c r="AD7" s="360">
        <v>10</v>
      </c>
      <c r="AE7" s="367">
        <v>1.39</v>
      </c>
      <c r="AF7" s="367" t="s">
        <v>517</v>
      </c>
      <c r="AG7" s="367" t="s">
        <v>517</v>
      </c>
      <c r="AH7" s="367" t="s">
        <v>517</v>
      </c>
      <c r="AJ7" s="266" t="s">
        <v>221</v>
      </c>
      <c r="AK7" s="360">
        <v>10</v>
      </c>
      <c r="AL7" s="367">
        <v>1.31</v>
      </c>
      <c r="AM7" s="367" t="s">
        <v>517</v>
      </c>
      <c r="AN7" s="367" t="s">
        <v>517</v>
      </c>
      <c r="AO7" s="367" t="s">
        <v>517</v>
      </c>
      <c r="AQ7" s="266" t="s">
        <v>221</v>
      </c>
      <c r="AR7" s="360">
        <v>10</v>
      </c>
      <c r="AS7" s="365">
        <v>1.279409283456111</v>
      </c>
      <c r="AT7" s="367" t="s">
        <v>517</v>
      </c>
      <c r="AU7" s="367" t="s">
        <v>517</v>
      </c>
      <c r="AV7" s="367" t="s">
        <v>517</v>
      </c>
      <c r="AX7" s="266" t="s">
        <v>221</v>
      </c>
      <c r="AY7" s="360">
        <v>10</v>
      </c>
      <c r="AZ7" s="365">
        <v>1.2343984658024492</v>
      </c>
      <c r="BA7" s="367" t="s">
        <v>517</v>
      </c>
      <c r="BB7" s="367" t="s">
        <v>517</v>
      </c>
      <c r="BC7" s="367" t="s">
        <v>517</v>
      </c>
      <c r="BE7" s="266" t="s">
        <v>221</v>
      </c>
      <c r="BF7" s="360">
        <v>10</v>
      </c>
      <c r="BG7" s="365">
        <v>1.1692946227013117</v>
      </c>
      <c r="BH7" s="367" t="s">
        <v>517</v>
      </c>
      <c r="BI7" s="367" t="s">
        <v>517</v>
      </c>
      <c r="BJ7" s="367" t="s">
        <v>517</v>
      </c>
      <c r="BL7" s="266" t="s">
        <v>221</v>
      </c>
      <c r="BM7" s="360">
        <v>10</v>
      </c>
      <c r="BN7" s="365">
        <v>1.2590011237387253</v>
      </c>
      <c r="BO7" s="626" t="s">
        <v>517</v>
      </c>
      <c r="BP7" s="367" t="s">
        <v>517</v>
      </c>
      <c r="BQ7" s="367" t="s">
        <v>517</v>
      </c>
      <c r="BS7" s="266" t="s">
        <v>221</v>
      </c>
      <c r="BT7" s="360">
        <v>10</v>
      </c>
      <c r="BU7" s="365">
        <v>1.23749325346394</v>
      </c>
      <c r="BV7" s="626" t="s">
        <v>517</v>
      </c>
      <c r="BW7" s="367" t="s">
        <v>517</v>
      </c>
      <c r="BX7" s="367" t="s">
        <v>517</v>
      </c>
      <c r="BZ7" s="266" t="s">
        <v>221</v>
      </c>
      <c r="CA7" s="360">
        <v>10</v>
      </c>
      <c r="CB7" s="360">
        <v>1.2234913061810273</v>
      </c>
      <c r="CC7" s="71" t="s">
        <v>517</v>
      </c>
      <c r="CD7" s="367" t="s">
        <v>517</v>
      </c>
      <c r="CE7" s="367" t="s">
        <v>517</v>
      </c>
      <c r="CG7" s="266" t="s">
        <v>221</v>
      </c>
      <c r="CH7" s="360">
        <v>10</v>
      </c>
      <c r="CI7" s="360">
        <v>1.1638385259922968</v>
      </c>
      <c r="CJ7" s="71" t="s">
        <v>517</v>
      </c>
      <c r="CK7" s="367" t="s">
        <v>517</v>
      </c>
      <c r="CL7" s="367" t="s">
        <v>517</v>
      </c>
      <c r="CN7" s="266" t="s">
        <v>221</v>
      </c>
      <c r="CO7" s="607">
        <v>10</v>
      </c>
      <c r="CP7" s="613">
        <v>1.1485429442324901</v>
      </c>
      <c r="CQ7" s="622" t="s">
        <v>517</v>
      </c>
      <c r="CR7" s="599" t="s">
        <v>517</v>
      </c>
      <c r="CS7" s="599" t="s">
        <v>517</v>
      </c>
      <c r="CU7" s="266" t="s">
        <v>221</v>
      </c>
      <c r="CV7" s="607">
        <v>10</v>
      </c>
      <c r="CW7" s="613">
        <v>1.1254739349787812</v>
      </c>
      <c r="CX7" s="599" t="s">
        <v>517</v>
      </c>
      <c r="CY7" s="599" t="s">
        <v>517</v>
      </c>
      <c r="CZ7" s="581" t="s">
        <v>517</v>
      </c>
      <c r="DB7" s="266" t="s">
        <v>221</v>
      </c>
      <c r="DC7" s="607">
        <v>10</v>
      </c>
      <c r="DD7" s="613">
        <v>1.1000186126706526</v>
      </c>
      <c r="DE7" s="599" t="s">
        <v>517</v>
      </c>
      <c r="DF7" s="599" t="s">
        <v>517</v>
      </c>
      <c r="DG7" s="581" t="s">
        <v>517</v>
      </c>
      <c r="DI7" s="266" t="s">
        <v>221</v>
      </c>
      <c r="DJ7" s="607">
        <v>10</v>
      </c>
      <c r="DK7" s="613">
        <v>1.0792536405945514</v>
      </c>
      <c r="DL7" s="599" t="s">
        <v>517</v>
      </c>
      <c r="DM7" s="599" t="s">
        <v>517</v>
      </c>
      <c r="DN7" s="581" t="s">
        <v>517</v>
      </c>
    </row>
    <row r="8" spans="1:118">
      <c r="A8" s="266" t="s">
        <v>222</v>
      </c>
      <c r="B8" s="360">
        <v>16</v>
      </c>
      <c r="C8" s="367">
        <v>1.59</v>
      </c>
      <c r="D8" s="632" t="s">
        <v>517</v>
      </c>
      <c r="E8" s="632" t="s">
        <v>517</v>
      </c>
      <c r="F8" s="632" t="s">
        <v>517</v>
      </c>
      <c r="H8" s="266" t="s">
        <v>222</v>
      </c>
      <c r="I8" s="360">
        <v>16</v>
      </c>
      <c r="J8" s="361">
        <v>1.5</v>
      </c>
      <c r="K8" s="632" t="s">
        <v>517</v>
      </c>
      <c r="L8" s="632" t="s">
        <v>517</v>
      </c>
      <c r="M8" s="632" t="s">
        <v>517</v>
      </c>
      <c r="O8" s="266" t="s">
        <v>222</v>
      </c>
      <c r="P8" s="630">
        <v>16</v>
      </c>
      <c r="Q8" s="631">
        <v>1.38</v>
      </c>
      <c r="R8" s="632" t="s">
        <v>517</v>
      </c>
      <c r="S8" s="632" t="s">
        <v>517</v>
      </c>
      <c r="T8" s="632" t="s">
        <v>517</v>
      </c>
      <c r="V8" s="266" t="s">
        <v>222</v>
      </c>
      <c r="W8" s="630">
        <v>16</v>
      </c>
      <c r="X8" s="631">
        <v>1.27</v>
      </c>
      <c r="Y8" s="632">
        <v>0</v>
      </c>
      <c r="Z8" s="632">
        <v>0</v>
      </c>
      <c r="AA8" s="632">
        <v>0</v>
      </c>
      <c r="AC8" s="266" t="s">
        <v>222</v>
      </c>
      <c r="AD8" s="360">
        <v>16</v>
      </c>
      <c r="AE8" s="361">
        <v>1.33</v>
      </c>
      <c r="AF8" s="367">
        <v>0</v>
      </c>
      <c r="AG8" s="367">
        <v>0</v>
      </c>
      <c r="AH8" s="367">
        <v>0</v>
      </c>
      <c r="AJ8" s="266" t="s">
        <v>222</v>
      </c>
      <c r="AK8" s="360">
        <v>16</v>
      </c>
      <c r="AL8" s="361">
        <v>1.17</v>
      </c>
      <c r="AM8" s="367">
        <v>0</v>
      </c>
      <c r="AN8" s="367">
        <v>0</v>
      </c>
      <c r="AO8" s="367">
        <v>0</v>
      </c>
      <c r="AQ8" s="266" t="s">
        <v>222</v>
      </c>
      <c r="AR8" s="360" t="s">
        <v>149</v>
      </c>
      <c r="AS8" s="361" t="s">
        <v>149</v>
      </c>
      <c r="AT8" s="616" t="s">
        <v>149</v>
      </c>
      <c r="AU8" s="581" t="s">
        <v>149</v>
      </c>
      <c r="AV8" s="581" t="s">
        <v>149</v>
      </c>
      <c r="AX8" s="266" t="s">
        <v>222</v>
      </c>
      <c r="AY8" s="360">
        <v>16</v>
      </c>
      <c r="AZ8" s="361">
        <v>1.3</v>
      </c>
      <c r="BA8" s="616" t="s">
        <v>517</v>
      </c>
      <c r="BB8" s="581" t="s">
        <v>517</v>
      </c>
      <c r="BC8" s="581" t="s">
        <v>517</v>
      </c>
      <c r="BE8" s="266" t="s">
        <v>222</v>
      </c>
      <c r="BF8" s="360">
        <v>16</v>
      </c>
      <c r="BG8" s="361">
        <v>1.29</v>
      </c>
      <c r="BH8" s="616" t="s">
        <v>517</v>
      </c>
      <c r="BI8" s="581" t="s">
        <v>517</v>
      </c>
      <c r="BJ8" s="581" t="s">
        <v>517</v>
      </c>
      <c r="BL8" s="266" t="s">
        <v>222</v>
      </c>
      <c r="BM8" s="360" t="s">
        <v>149</v>
      </c>
      <c r="BN8" s="361" t="s">
        <v>149</v>
      </c>
      <c r="BO8" s="616" t="s">
        <v>149</v>
      </c>
      <c r="BP8" s="581" t="s">
        <v>149</v>
      </c>
      <c r="BQ8" s="581" t="s">
        <v>149</v>
      </c>
      <c r="BS8" s="266" t="s">
        <v>222</v>
      </c>
      <c r="BT8" s="360" t="s">
        <v>149</v>
      </c>
      <c r="BU8" s="361" t="s">
        <v>149</v>
      </c>
      <c r="BV8" s="616" t="s">
        <v>149</v>
      </c>
      <c r="BW8" s="581" t="s">
        <v>149</v>
      </c>
      <c r="BX8" s="581" t="s">
        <v>149</v>
      </c>
      <c r="BZ8" s="266" t="s">
        <v>222</v>
      </c>
      <c r="CA8" s="360" t="s">
        <v>149</v>
      </c>
      <c r="CB8" s="361" t="s">
        <v>149</v>
      </c>
      <c r="CC8" s="616" t="s">
        <v>149</v>
      </c>
      <c r="CD8" s="581" t="s">
        <v>149</v>
      </c>
      <c r="CE8" s="581" t="s">
        <v>149</v>
      </c>
      <c r="CG8" s="266" t="s">
        <v>222</v>
      </c>
      <c r="CH8" s="360">
        <v>16</v>
      </c>
      <c r="CI8" s="361">
        <v>1.2</v>
      </c>
      <c r="CJ8" s="616" t="s">
        <v>517</v>
      </c>
      <c r="CK8" s="581" t="s">
        <v>517</v>
      </c>
      <c r="CL8" s="581" t="s">
        <v>517</v>
      </c>
      <c r="CN8" s="266" t="s">
        <v>222</v>
      </c>
      <c r="CO8" s="607">
        <v>16</v>
      </c>
      <c r="CP8" s="600">
        <v>1.0125</v>
      </c>
      <c r="CQ8" s="616" t="s">
        <v>517</v>
      </c>
      <c r="CR8" s="581" t="s">
        <v>517</v>
      </c>
      <c r="CS8" s="581" t="s">
        <v>517</v>
      </c>
      <c r="CU8" s="266" t="s">
        <v>222</v>
      </c>
      <c r="CV8" s="607">
        <v>16</v>
      </c>
      <c r="CW8" s="600">
        <v>0.99500000000000011</v>
      </c>
      <c r="CX8" s="581" t="s">
        <v>517</v>
      </c>
      <c r="CY8" s="581" t="s">
        <v>517</v>
      </c>
      <c r="CZ8" s="581" t="s">
        <v>517</v>
      </c>
      <c r="DB8" s="266" t="s">
        <v>222</v>
      </c>
      <c r="DC8" s="607">
        <v>16</v>
      </c>
      <c r="DD8" s="600">
        <v>1.0049999999999999</v>
      </c>
      <c r="DE8" s="581" t="s">
        <v>517</v>
      </c>
      <c r="DF8" s="581" t="s">
        <v>517</v>
      </c>
      <c r="DG8" s="581" t="s">
        <v>517</v>
      </c>
      <c r="DI8" s="266" t="s">
        <v>222</v>
      </c>
      <c r="DJ8" s="607">
        <v>16</v>
      </c>
      <c r="DK8" s="600">
        <v>1.0024999999999999</v>
      </c>
      <c r="DL8" s="581" t="s">
        <v>517</v>
      </c>
      <c r="DM8" s="581" t="s">
        <v>517</v>
      </c>
      <c r="DN8" s="581" t="s">
        <v>517</v>
      </c>
    </row>
    <row r="9" spans="1:118">
      <c r="A9" s="266" t="s">
        <v>223</v>
      </c>
      <c r="B9" s="360" t="s">
        <v>149</v>
      </c>
      <c r="C9" s="367" t="s">
        <v>149</v>
      </c>
      <c r="D9" s="367" t="s">
        <v>149</v>
      </c>
      <c r="E9" s="367" t="s">
        <v>149</v>
      </c>
      <c r="F9" s="367" t="s">
        <v>149</v>
      </c>
      <c r="H9" s="266" t="s">
        <v>223</v>
      </c>
      <c r="I9" s="360" t="s">
        <v>149</v>
      </c>
      <c r="J9" s="367" t="s">
        <v>149</v>
      </c>
      <c r="K9" s="367" t="s">
        <v>149</v>
      </c>
      <c r="L9" s="367" t="s">
        <v>149</v>
      </c>
      <c r="M9" s="367" t="s">
        <v>149</v>
      </c>
      <c r="O9" s="266" t="s">
        <v>223</v>
      </c>
      <c r="P9" s="582" t="s">
        <v>149</v>
      </c>
      <c r="Q9" s="582" t="s">
        <v>149</v>
      </c>
      <c r="R9" s="582" t="s">
        <v>149</v>
      </c>
      <c r="S9" s="582" t="s">
        <v>149</v>
      </c>
      <c r="T9" s="581" t="s">
        <v>149</v>
      </c>
      <c r="V9" s="266" t="s">
        <v>223</v>
      </c>
      <c r="W9" s="582" t="s">
        <v>149</v>
      </c>
      <c r="X9" s="582" t="s">
        <v>149</v>
      </c>
      <c r="Y9" s="582" t="s">
        <v>149</v>
      </c>
      <c r="Z9" s="582" t="s">
        <v>149</v>
      </c>
      <c r="AA9" s="581" t="s">
        <v>149</v>
      </c>
      <c r="AC9" s="266" t="s">
        <v>223</v>
      </c>
      <c r="AD9" s="582" t="s">
        <v>149</v>
      </c>
      <c r="AE9" s="582" t="s">
        <v>149</v>
      </c>
      <c r="AF9" s="582" t="s">
        <v>149</v>
      </c>
      <c r="AG9" s="582" t="s">
        <v>149</v>
      </c>
      <c r="AH9" s="581" t="s">
        <v>149</v>
      </c>
      <c r="AJ9" s="266" t="s">
        <v>223</v>
      </c>
      <c r="AK9" s="582" t="s">
        <v>149</v>
      </c>
      <c r="AL9" s="582" t="s">
        <v>149</v>
      </c>
      <c r="AM9" s="582" t="s">
        <v>149</v>
      </c>
      <c r="AN9" s="582" t="s">
        <v>149</v>
      </c>
      <c r="AO9" s="581" t="s">
        <v>149</v>
      </c>
      <c r="AQ9" s="266" t="s">
        <v>223</v>
      </c>
      <c r="AR9" s="582" t="s">
        <v>149</v>
      </c>
      <c r="AS9" s="582" t="s">
        <v>149</v>
      </c>
      <c r="AT9" s="582" t="s">
        <v>149</v>
      </c>
      <c r="AU9" s="582" t="s">
        <v>149</v>
      </c>
      <c r="AV9" s="581" t="s">
        <v>149</v>
      </c>
      <c r="AX9" s="266" t="s">
        <v>223</v>
      </c>
      <c r="AY9" s="582" t="s">
        <v>149</v>
      </c>
      <c r="AZ9" s="582" t="s">
        <v>149</v>
      </c>
      <c r="BA9" s="582" t="s">
        <v>149</v>
      </c>
      <c r="BB9" s="582" t="s">
        <v>149</v>
      </c>
      <c r="BC9" s="581" t="s">
        <v>149</v>
      </c>
      <c r="BE9" s="266" t="s">
        <v>223</v>
      </c>
      <c r="BF9" s="582" t="s">
        <v>149</v>
      </c>
      <c r="BG9" s="582" t="s">
        <v>149</v>
      </c>
      <c r="BH9" s="582" t="s">
        <v>149</v>
      </c>
      <c r="BI9" s="582" t="s">
        <v>149</v>
      </c>
      <c r="BJ9" s="581" t="s">
        <v>149</v>
      </c>
      <c r="BL9" s="266" t="s">
        <v>223</v>
      </c>
      <c r="BM9" s="582" t="s">
        <v>149</v>
      </c>
      <c r="BN9" s="582" t="s">
        <v>149</v>
      </c>
      <c r="BO9" s="582" t="s">
        <v>149</v>
      </c>
      <c r="BP9" s="582" t="s">
        <v>149</v>
      </c>
      <c r="BQ9" s="581" t="s">
        <v>149</v>
      </c>
      <c r="BS9" s="266" t="s">
        <v>223</v>
      </c>
      <c r="BT9" s="582" t="s">
        <v>149</v>
      </c>
      <c r="BU9" s="582" t="s">
        <v>149</v>
      </c>
      <c r="BV9" s="582" t="s">
        <v>149</v>
      </c>
      <c r="BW9" s="582" t="s">
        <v>149</v>
      </c>
      <c r="BX9" s="581" t="s">
        <v>149</v>
      </c>
      <c r="BZ9" s="266" t="s">
        <v>223</v>
      </c>
      <c r="CA9" s="582" t="s">
        <v>149</v>
      </c>
      <c r="CB9" s="582" t="s">
        <v>149</v>
      </c>
      <c r="CC9" s="582" t="s">
        <v>149</v>
      </c>
      <c r="CD9" s="582" t="s">
        <v>149</v>
      </c>
      <c r="CE9" s="581" t="s">
        <v>149</v>
      </c>
      <c r="CG9" s="266" t="s">
        <v>223</v>
      </c>
      <c r="CH9" s="582" t="s">
        <v>149</v>
      </c>
      <c r="CI9" s="582" t="s">
        <v>149</v>
      </c>
      <c r="CJ9" s="582" t="s">
        <v>149</v>
      </c>
      <c r="CK9" s="582" t="s">
        <v>149</v>
      </c>
      <c r="CL9" s="581" t="s">
        <v>149</v>
      </c>
      <c r="CN9" s="266" t="s">
        <v>223</v>
      </c>
      <c r="CO9" s="582" t="s">
        <v>149</v>
      </c>
      <c r="CP9" s="582" t="s">
        <v>149</v>
      </c>
      <c r="CQ9" s="582" t="s">
        <v>149</v>
      </c>
      <c r="CR9" s="582" t="s">
        <v>149</v>
      </c>
      <c r="CS9" s="581" t="s">
        <v>149</v>
      </c>
      <c r="CU9" s="266" t="s">
        <v>223</v>
      </c>
      <c r="CV9" s="582" t="s">
        <v>149</v>
      </c>
      <c r="CW9" s="582" t="s">
        <v>149</v>
      </c>
      <c r="CX9" s="582" t="s">
        <v>149</v>
      </c>
      <c r="CY9" s="582" t="s">
        <v>149</v>
      </c>
      <c r="CZ9" s="582" t="s">
        <v>149</v>
      </c>
      <c r="DA9" s="328"/>
      <c r="DB9" s="266" t="s">
        <v>223</v>
      </c>
      <c r="DC9" s="582" t="s">
        <v>149</v>
      </c>
      <c r="DD9" s="582" t="s">
        <v>149</v>
      </c>
      <c r="DE9" s="582" t="s">
        <v>149</v>
      </c>
      <c r="DF9" s="582" t="s">
        <v>149</v>
      </c>
      <c r="DG9" s="582" t="s">
        <v>149</v>
      </c>
      <c r="DH9" s="328"/>
      <c r="DI9" s="266" t="s">
        <v>223</v>
      </c>
      <c r="DJ9" s="582" t="s">
        <v>149</v>
      </c>
      <c r="DK9" s="582" t="s">
        <v>149</v>
      </c>
      <c r="DL9" s="582" t="s">
        <v>149</v>
      </c>
      <c r="DM9" s="582" t="s">
        <v>149</v>
      </c>
      <c r="DN9" s="582" t="s">
        <v>149</v>
      </c>
    </row>
    <row r="10" spans="1:118">
      <c r="A10" s="266" t="s">
        <v>6</v>
      </c>
      <c r="B10" s="367">
        <v>10.3</v>
      </c>
      <c r="C10" s="367">
        <v>2.7</v>
      </c>
      <c r="D10" s="632" t="s">
        <v>517</v>
      </c>
      <c r="E10" s="632" t="s">
        <v>517</v>
      </c>
      <c r="F10" s="632" t="s">
        <v>517</v>
      </c>
      <c r="H10" s="266" t="s">
        <v>6</v>
      </c>
      <c r="I10" s="367">
        <v>10.3</v>
      </c>
      <c r="J10" s="367">
        <v>2.7</v>
      </c>
      <c r="K10" s="632" t="s">
        <v>517</v>
      </c>
      <c r="L10" s="632" t="s">
        <v>517</v>
      </c>
      <c r="M10" s="632" t="s">
        <v>517</v>
      </c>
      <c r="O10" s="266" t="s">
        <v>6</v>
      </c>
      <c r="P10" s="367">
        <v>10.3</v>
      </c>
      <c r="Q10" s="367">
        <v>2.7</v>
      </c>
      <c r="R10" s="367" t="s">
        <v>517</v>
      </c>
      <c r="S10" s="367" t="s">
        <v>517</v>
      </c>
      <c r="T10" s="367" t="s">
        <v>517</v>
      </c>
      <c r="V10" s="266" t="s">
        <v>6</v>
      </c>
      <c r="W10" s="367">
        <v>10.8</v>
      </c>
      <c r="X10" s="367">
        <v>2.2000000000000002</v>
      </c>
      <c r="Y10" s="367">
        <v>0</v>
      </c>
      <c r="Z10" s="367">
        <v>0</v>
      </c>
      <c r="AA10" s="367">
        <v>0</v>
      </c>
      <c r="AC10" s="266" t="s">
        <v>6</v>
      </c>
      <c r="AD10" s="628">
        <v>10.8</v>
      </c>
      <c r="AE10" s="628">
        <v>2.2000000000000002</v>
      </c>
      <c r="AF10" s="367">
        <v>0</v>
      </c>
      <c r="AG10" s="367">
        <v>0</v>
      </c>
      <c r="AH10" s="367">
        <v>0</v>
      </c>
      <c r="AJ10" s="266" t="s">
        <v>6</v>
      </c>
      <c r="AK10" s="628">
        <v>10.8</v>
      </c>
      <c r="AL10" s="628">
        <v>2.2000000000000002</v>
      </c>
      <c r="AM10" s="367">
        <v>0</v>
      </c>
      <c r="AN10" s="367">
        <v>0</v>
      </c>
      <c r="AO10" s="367">
        <v>0</v>
      </c>
      <c r="AQ10" s="266" t="s">
        <v>6</v>
      </c>
      <c r="AR10" s="378">
        <v>10.8</v>
      </c>
      <c r="AS10" s="378">
        <v>2.2000000000000002</v>
      </c>
      <c r="AT10" s="379" t="s">
        <v>517</v>
      </c>
      <c r="AU10" s="379" t="s">
        <v>517</v>
      </c>
      <c r="AV10" s="379" t="s">
        <v>517</v>
      </c>
      <c r="AX10" s="266" t="s">
        <v>6</v>
      </c>
      <c r="AY10" s="378">
        <v>10.8</v>
      </c>
      <c r="AZ10" s="378">
        <v>2.2000000000000002</v>
      </c>
      <c r="BA10" s="379">
        <v>0</v>
      </c>
      <c r="BB10" s="379">
        <v>0</v>
      </c>
      <c r="BC10" s="379">
        <v>0</v>
      </c>
      <c r="BE10" s="266" t="s">
        <v>6</v>
      </c>
      <c r="BF10" s="378">
        <v>13</v>
      </c>
      <c r="BG10" s="378">
        <v>2</v>
      </c>
      <c r="BH10" s="379">
        <v>0</v>
      </c>
      <c r="BI10" s="379">
        <v>0</v>
      </c>
      <c r="BJ10" s="379">
        <v>0</v>
      </c>
      <c r="BL10" s="266" t="s">
        <v>6</v>
      </c>
      <c r="BM10" s="378">
        <v>13</v>
      </c>
      <c r="BN10" s="378">
        <v>2</v>
      </c>
      <c r="BO10" s="379">
        <v>0</v>
      </c>
      <c r="BP10" s="379">
        <v>0</v>
      </c>
      <c r="BQ10" s="379">
        <v>0</v>
      </c>
      <c r="BS10" s="266" t="s">
        <v>6</v>
      </c>
      <c r="BT10" s="378">
        <v>13.05</v>
      </c>
      <c r="BU10" s="378">
        <v>1.95</v>
      </c>
      <c r="BV10" s="379">
        <v>0</v>
      </c>
      <c r="BW10" s="379">
        <v>0</v>
      </c>
      <c r="BX10" s="379">
        <v>0</v>
      </c>
      <c r="BZ10" s="266" t="s">
        <v>6</v>
      </c>
      <c r="CA10" s="378">
        <v>13.1</v>
      </c>
      <c r="CB10" s="378">
        <v>1.9</v>
      </c>
      <c r="CC10" s="616" t="s">
        <v>517</v>
      </c>
      <c r="CD10" s="581" t="s">
        <v>517</v>
      </c>
      <c r="CE10" s="581" t="s">
        <v>517</v>
      </c>
      <c r="CG10" s="266" t="s">
        <v>6</v>
      </c>
      <c r="CH10" s="378">
        <v>13.1</v>
      </c>
      <c r="CI10" s="378">
        <v>1.9</v>
      </c>
      <c r="CJ10" s="616" t="s">
        <v>517</v>
      </c>
      <c r="CK10" s="581" t="s">
        <v>517</v>
      </c>
      <c r="CL10" s="581" t="s">
        <v>517</v>
      </c>
      <c r="CN10" s="266" t="s">
        <v>6</v>
      </c>
      <c r="CO10" s="582" t="s">
        <v>149</v>
      </c>
      <c r="CP10" s="582" t="s">
        <v>149</v>
      </c>
      <c r="CQ10" s="582" t="s">
        <v>149</v>
      </c>
      <c r="CR10" s="582" t="s">
        <v>149</v>
      </c>
      <c r="CS10" s="581" t="s">
        <v>149</v>
      </c>
      <c r="CU10" s="266" t="s">
        <v>6</v>
      </c>
      <c r="CV10" s="582" t="s">
        <v>149</v>
      </c>
      <c r="CW10" s="582" t="s">
        <v>149</v>
      </c>
      <c r="CX10" s="582" t="s">
        <v>149</v>
      </c>
      <c r="CY10" s="582" t="s">
        <v>149</v>
      </c>
      <c r="CZ10" s="582" t="s">
        <v>149</v>
      </c>
      <c r="DA10" s="328"/>
      <c r="DB10" s="266" t="s">
        <v>6</v>
      </c>
      <c r="DC10" s="582" t="s">
        <v>149</v>
      </c>
      <c r="DD10" s="582" t="s">
        <v>149</v>
      </c>
      <c r="DE10" s="582" t="s">
        <v>149</v>
      </c>
      <c r="DF10" s="582" t="s">
        <v>149</v>
      </c>
      <c r="DG10" s="582" t="s">
        <v>149</v>
      </c>
      <c r="DH10" s="328"/>
      <c r="DI10" s="266" t="s">
        <v>6</v>
      </c>
      <c r="DJ10" s="582" t="s">
        <v>149</v>
      </c>
      <c r="DK10" s="582" t="s">
        <v>149</v>
      </c>
      <c r="DL10" s="582" t="s">
        <v>149</v>
      </c>
      <c r="DM10" s="582" t="s">
        <v>149</v>
      </c>
      <c r="DN10" s="582" t="s">
        <v>149</v>
      </c>
    </row>
    <row r="11" spans="1:118" ht="17.25">
      <c r="A11" s="266" t="s">
        <v>434</v>
      </c>
      <c r="B11" s="360" t="s">
        <v>149</v>
      </c>
      <c r="C11" s="367" t="s">
        <v>149</v>
      </c>
      <c r="D11" s="367" t="s">
        <v>149</v>
      </c>
      <c r="E11" s="367" t="s">
        <v>149</v>
      </c>
      <c r="F11" s="367" t="s">
        <v>149</v>
      </c>
      <c r="H11" s="266" t="s">
        <v>434</v>
      </c>
      <c r="I11" s="360" t="s">
        <v>149</v>
      </c>
      <c r="J11" s="367" t="s">
        <v>149</v>
      </c>
      <c r="K11" s="367" t="s">
        <v>149</v>
      </c>
      <c r="L11" s="367" t="s">
        <v>149</v>
      </c>
      <c r="M11" s="367" t="s">
        <v>149</v>
      </c>
      <c r="O11" s="266" t="s">
        <v>434</v>
      </c>
      <c r="P11" s="367" t="s">
        <v>294</v>
      </c>
      <c r="Q11" s="367" t="s">
        <v>294</v>
      </c>
      <c r="R11" s="361">
        <v>1.4366186766451914</v>
      </c>
      <c r="S11" s="367" t="s">
        <v>294</v>
      </c>
      <c r="T11" s="367" t="s">
        <v>294</v>
      </c>
      <c r="V11" s="266" t="s">
        <v>434</v>
      </c>
      <c r="W11" s="367" t="s">
        <v>517</v>
      </c>
      <c r="X11" s="367" t="s">
        <v>517</v>
      </c>
      <c r="Y11" s="361">
        <v>1.333017534735957</v>
      </c>
      <c r="Z11" s="367" t="s">
        <v>517</v>
      </c>
      <c r="AA11" s="367" t="s">
        <v>517</v>
      </c>
      <c r="AC11" s="266" t="s">
        <v>434</v>
      </c>
      <c r="AD11" s="582" t="s">
        <v>517</v>
      </c>
      <c r="AE11" s="582" t="s">
        <v>517</v>
      </c>
      <c r="AF11" s="361">
        <v>1.2146937720379292</v>
      </c>
      <c r="AG11" s="582" t="s">
        <v>517</v>
      </c>
      <c r="AH11" s="581" t="s">
        <v>517</v>
      </c>
      <c r="AJ11" s="266" t="s">
        <v>434</v>
      </c>
      <c r="AK11" s="582" t="s">
        <v>517</v>
      </c>
      <c r="AL11" s="582" t="s">
        <v>517</v>
      </c>
      <c r="AM11" s="361">
        <v>1.1459315018405711</v>
      </c>
      <c r="AN11" s="582" t="s">
        <v>517</v>
      </c>
      <c r="AO11" s="581" t="s">
        <v>517</v>
      </c>
      <c r="AQ11" s="266" t="s">
        <v>434</v>
      </c>
      <c r="AR11" s="582" t="s">
        <v>517</v>
      </c>
      <c r="AS11" s="582" t="s">
        <v>517</v>
      </c>
      <c r="AT11" s="361">
        <v>1.0885251558880533</v>
      </c>
      <c r="AU11" s="582" t="s">
        <v>517</v>
      </c>
      <c r="AV11" s="581" t="s">
        <v>517</v>
      </c>
      <c r="AX11" s="266" t="s">
        <v>434</v>
      </c>
      <c r="AY11" s="582" t="s">
        <v>517</v>
      </c>
      <c r="AZ11" s="582" t="s">
        <v>517</v>
      </c>
      <c r="BA11" s="361">
        <v>1.0457441422638043</v>
      </c>
      <c r="BB11" s="582" t="s">
        <v>517</v>
      </c>
      <c r="BC11" s="581" t="s">
        <v>517</v>
      </c>
      <c r="BE11" s="266" t="s">
        <v>434</v>
      </c>
      <c r="BF11" s="582" t="s">
        <v>517</v>
      </c>
      <c r="BG11" s="582" t="s">
        <v>517</v>
      </c>
      <c r="BH11" s="361">
        <v>1.0180425328055218</v>
      </c>
      <c r="BI11" s="582" t="s">
        <v>517</v>
      </c>
      <c r="BJ11" s="581" t="s">
        <v>517</v>
      </c>
      <c r="BL11" s="266" t="s">
        <v>434</v>
      </c>
      <c r="BM11" s="582" t="s">
        <v>517</v>
      </c>
      <c r="BN11" s="582" t="s">
        <v>517</v>
      </c>
      <c r="BO11" s="361">
        <v>1.0054813653099033</v>
      </c>
      <c r="BP11" s="582" t="s">
        <v>517</v>
      </c>
      <c r="BQ11" s="581" t="s">
        <v>517</v>
      </c>
      <c r="BS11" s="266" t="s">
        <v>434</v>
      </c>
      <c r="BT11" s="582" t="s">
        <v>517</v>
      </c>
      <c r="BU11" s="582" t="s">
        <v>517</v>
      </c>
      <c r="BV11" s="361">
        <v>0.97563344167346178</v>
      </c>
      <c r="BW11" s="582" t="s">
        <v>517</v>
      </c>
      <c r="BX11" s="582" t="s">
        <v>517</v>
      </c>
      <c r="BZ11" s="266" t="s">
        <v>434</v>
      </c>
      <c r="CA11" s="582" t="s">
        <v>517</v>
      </c>
      <c r="CB11" s="582" t="s">
        <v>517</v>
      </c>
      <c r="CC11" s="625">
        <v>0.90881385702629036</v>
      </c>
      <c r="CD11" s="582" t="s">
        <v>517</v>
      </c>
      <c r="CE11" s="581" t="s">
        <v>517</v>
      </c>
      <c r="CG11" s="266" t="s">
        <v>434</v>
      </c>
      <c r="CH11" s="582" t="s">
        <v>517</v>
      </c>
      <c r="CI11" s="582" t="s">
        <v>517</v>
      </c>
      <c r="CJ11" s="625">
        <v>0.80578440459847811</v>
      </c>
      <c r="CK11" s="582" t="s">
        <v>517</v>
      </c>
      <c r="CL11" s="581" t="s">
        <v>517</v>
      </c>
      <c r="CN11" s="266" t="s">
        <v>434</v>
      </c>
      <c r="CO11" s="582" t="s">
        <v>517</v>
      </c>
      <c r="CP11" s="582" t="s">
        <v>517</v>
      </c>
      <c r="CQ11" s="615">
        <v>0.56698955639570414</v>
      </c>
      <c r="CR11" s="582" t="s">
        <v>517</v>
      </c>
      <c r="CS11" s="581" t="s">
        <v>517</v>
      </c>
      <c r="CU11" s="266" t="s">
        <v>434</v>
      </c>
      <c r="CV11" s="582" t="s">
        <v>517</v>
      </c>
      <c r="CW11" s="582" t="s">
        <v>517</v>
      </c>
      <c r="CX11" s="615">
        <v>0.56698955639570414</v>
      </c>
      <c r="CY11" s="582" t="s">
        <v>517</v>
      </c>
      <c r="CZ11" s="582" t="s">
        <v>517</v>
      </c>
      <c r="DA11" s="328"/>
      <c r="DB11" s="266" t="s">
        <v>434</v>
      </c>
      <c r="DC11" s="582" t="s">
        <v>517</v>
      </c>
      <c r="DD11" s="582" t="s">
        <v>517</v>
      </c>
      <c r="DE11" s="615">
        <v>0.56690541743097012</v>
      </c>
      <c r="DF11" s="582" t="s">
        <v>517</v>
      </c>
      <c r="DG11" s="582" t="s">
        <v>517</v>
      </c>
      <c r="DH11" s="328"/>
      <c r="DI11" s="266" t="s">
        <v>434</v>
      </c>
      <c r="DJ11" s="582" t="s">
        <v>517</v>
      </c>
      <c r="DK11" s="582" t="s">
        <v>517</v>
      </c>
      <c r="DL11" s="615">
        <v>0.54796051120383926</v>
      </c>
      <c r="DM11" s="582" t="s">
        <v>517</v>
      </c>
      <c r="DN11" s="582" t="s">
        <v>517</v>
      </c>
    </row>
    <row r="12" spans="1:118">
      <c r="A12" s="266" t="s">
        <v>184</v>
      </c>
      <c r="B12" s="360" t="s">
        <v>149</v>
      </c>
      <c r="C12" s="367" t="s">
        <v>149</v>
      </c>
      <c r="D12" s="367" t="s">
        <v>149</v>
      </c>
      <c r="E12" s="367" t="s">
        <v>149</v>
      </c>
      <c r="F12" s="367" t="s">
        <v>149</v>
      </c>
      <c r="H12" s="266" t="s">
        <v>184</v>
      </c>
      <c r="I12" s="360" t="s">
        <v>149</v>
      </c>
      <c r="J12" s="367" t="s">
        <v>149</v>
      </c>
      <c r="K12" s="367" t="s">
        <v>149</v>
      </c>
      <c r="L12" s="367" t="s">
        <v>149</v>
      </c>
      <c r="M12" s="367" t="s">
        <v>149</v>
      </c>
      <c r="O12" s="266" t="s">
        <v>184</v>
      </c>
      <c r="P12" s="582" t="s">
        <v>149</v>
      </c>
      <c r="Q12" s="582" t="s">
        <v>149</v>
      </c>
      <c r="R12" s="582" t="s">
        <v>149</v>
      </c>
      <c r="S12" s="582" t="s">
        <v>149</v>
      </c>
      <c r="T12" s="581" t="s">
        <v>149</v>
      </c>
      <c r="V12" s="266" t="s">
        <v>184</v>
      </c>
      <c r="W12" s="582" t="s">
        <v>149</v>
      </c>
      <c r="X12" s="582" t="s">
        <v>149</v>
      </c>
      <c r="Y12" s="582" t="s">
        <v>149</v>
      </c>
      <c r="Z12" s="582" t="s">
        <v>149</v>
      </c>
      <c r="AA12" s="581" t="s">
        <v>149</v>
      </c>
      <c r="AC12" s="266" t="s">
        <v>184</v>
      </c>
      <c r="AD12" s="367" t="s">
        <v>149</v>
      </c>
      <c r="AE12" s="367" t="s">
        <v>149</v>
      </c>
      <c r="AF12" s="367" t="s">
        <v>149</v>
      </c>
      <c r="AG12" s="367" t="s">
        <v>149</v>
      </c>
      <c r="AH12" s="367" t="s">
        <v>149</v>
      </c>
      <c r="AJ12" s="266" t="s">
        <v>184</v>
      </c>
      <c r="AK12" s="367" t="s">
        <v>149</v>
      </c>
      <c r="AL12" s="367" t="s">
        <v>149</v>
      </c>
      <c r="AM12" s="367" t="s">
        <v>149</v>
      </c>
      <c r="AN12" s="367" t="s">
        <v>149</v>
      </c>
      <c r="AO12" s="367" t="s">
        <v>149</v>
      </c>
      <c r="AQ12" s="266" t="s">
        <v>184</v>
      </c>
      <c r="AR12" s="582" t="s">
        <v>149</v>
      </c>
      <c r="AS12" s="582" t="s">
        <v>149</v>
      </c>
      <c r="AT12" s="615" t="s">
        <v>149</v>
      </c>
      <c r="AU12" s="582" t="s">
        <v>149</v>
      </c>
      <c r="AV12" s="581" t="s">
        <v>149</v>
      </c>
      <c r="AX12" s="266" t="s">
        <v>380</v>
      </c>
      <c r="AY12" s="582" t="s">
        <v>149</v>
      </c>
      <c r="AZ12" s="582" t="s">
        <v>149</v>
      </c>
      <c r="BA12" s="615" t="s">
        <v>149</v>
      </c>
      <c r="BB12" s="582" t="s">
        <v>149</v>
      </c>
      <c r="BC12" s="581" t="s">
        <v>149</v>
      </c>
      <c r="BE12" s="266" t="s">
        <v>380</v>
      </c>
      <c r="BF12" s="582" t="s">
        <v>149</v>
      </c>
      <c r="BG12" s="582" t="s">
        <v>149</v>
      </c>
      <c r="BH12" s="615" t="s">
        <v>149</v>
      </c>
      <c r="BI12" s="582" t="s">
        <v>149</v>
      </c>
      <c r="BJ12" s="581" t="s">
        <v>149</v>
      </c>
      <c r="BL12" s="266" t="s">
        <v>380</v>
      </c>
      <c r="BM12" s="582" t="s">
        <v>149</v>
      </c>
      <c r="BN12" s="582" t="s">
        <v>149</v>
      </c>
      <c r="BO12" s="615" t="s">
        <v>149</v>
      </c>
      <c r="BP12" s="582" t="s">
        <v>149</v>
      </c>
      <c r="BQ12" s="581" t="s">
        <v>149</v>
      </c>
      <c r="BS12" s="266" t="s">
        <v>380</v>
      </c>
      <c r="BT12" s="582" t="s">
        <v>517</v>
      </c>
      <c r="BU12" s="582" t="s">
        <v>517</v>
      </c>
      <c r="BV12" s="615">
        <v>1.0885251558880533</v>
      </c>
      <c r="BW12" s="582" t="s">
        <v>517</v>
      </c>
      <c r="BX12" s="582" t="s">
        <v>517</v>
      </c>
      <c r="BZ12" s="266" t="s">
        <v>380</v>
      </c>
      <c r="CA12" s="582" t="s">
        <v>517</v>
      </c>
      <c r="CB12" s="582" t="s">
        <v>517</v>
      </c>
      <c r="CC12" s="615">
        <v>1.0885251558880533</v>
      </c>
      <c r="CD12" s="582" t="s">
        <v>517</v>
      </c>
      <c r="CE12" s="582" t="s">
        <v>517</v>
      </c>
      <c r="CG12" s="266" t="s">
        <v>380</v>
      </c>
      <c r="CH12" s="582" t="s">
        <v>149</v>
      </c>
      <c r="CI12" s="582" t="s">
        <v>149</v>
      </c>
      <c r="CJ12" s="582" t="s">
        <v>149</v>
      </c>
      <c r="CK12" s="582" t="s">
        <v>149</v>
      </c>
      <c r="CL12" s="581" t="s">
        <v>149</v>
      </c>
      <c r="CN12" s="266" t="s">
        <v>380</v>
      </c>
      <c r="CO12" s="582" t="s">
        <v>149</v>
      </c>
      <c r="CP12" s="582" t="s">
        <v>149</v>
      </c>
      <c r="CQ12" s="582" t="s">
        <v>149</v>
      </c>
      <c r="CR12" s="582" t="s">
        <v>149</v>
      </c>
      <c r="CS12" s="581" t="s">
        <v>149</v>
      </c>
      <c r="CU12" s="266" t="s">
        <v>380</v>
      </c>
      <c r="CV12" s="582" t="s">
        <v>149</v>
      </c>
      <c r="CW12" s="582" t="s">
        <v>149</v>
      </c>
      <c r="CX12" s="582" t="s">
        <v>149</v>
      </c>
      <c r="CY12" s="582" t="s">
        <v>149</v>
      </c>
      <c r="CZ12" s="582" t="s">
        <v>149</v>
      </c>
      <c r="DA12" s="328"/>
      <c r="DB12" s="266" t="s">
        <v>380</v>
      </c>
      <c r="DC12" s="582" t="s">
        <v>149</v>
      </c>
      <c r="DD12" s="582" t="s">
        <v>149</v>
      </c>
      <c r="DE12" s="582" t="s">
        <v>149</v>
      </c>
      <c r="DF12" s="582" t="s">
        <v>149</v>
      </c>
      <c r="DG12" s="582" t="s">
        <v>149</v>
      </c>
      <c r="DH12" s="328"/>
      <c r="DI12" s="266" t="s">
        <v>380</v>
      </c>
      <c r="DJ12" s="582" t="s">
        <v>149</v>
      </c>
      <c r="DK12" s="582" t="s">
        <v>149</v>
      </c>
      <c r="DL12" s="582" t="s">
        <v>149</v>
      </c>
      <c r="DM12" s="582" t="s">
        <v>149</v>
      </c>
      <c r="DN12" s="582" t="s">
        <v>149</v>
      </c>
    </row>
    <row r="13" spans="1:118" ht="17.25">
      <c r="A13" s="266" t="s">
        <v>8</v>
      </c>
      <c r="B13" s="360">
        <v>10</v>
      </c>
      <c r="C13" s="361">
        <v>1.9136853258229292</v>
      </c>
      <c r="D13" s="632" t="s">
        <v>517</v>
      </c>
      <c r="E13" s="632" t="s">
        <v>517</v>
      </c>
      <c r="F13" s="632" t="s">
        <v>517</v>
      </c>
      <c r="H13" s="266" t="s">
        <v>8</v>
      </c>
      <c r="I13" s="360">
        <v>10</v>
      </c>
      <c r="J13" s="367">
        <v>1.92</v>
      </c>
      <c r="K13" s="632" t="s">
        <v>517</v>
      </c>
      <c r="L13" s="632" t="s">
        <v>517</v>
      </c>
      <c r="M13" s="632" t="s">
        <v>517</v>
      </c>
      <c r="O13" s="266" t="s">
        <v>8</v>
      </c>
      <c r="P13" s="360">
        <v>10</v>
      </c>
      <c r="Q13" s="361">
        <v>1.8900344913523777</v>
      </c>
      <c r="R13" s="367" t="s">
        <v>517</v>
      </c>
      <c r="S13" s="367" t="s">
        <v>517</v>
      </c>
      <c r="T13" s="367" t="s">
        <v>517</v>
      </c>
      <c r="V13" s="266" t="s">
        <v>8</v>
      </c>
      <c r="W13" s="360">
        <v>10</v>
      </c>
      <c r="X13" s="361">
        <v>1.8051580584293279</v>
      </c>
      <c r="Y13" s="367">
        <v>0</v>
      </c>
      <c r="Z13" s="367">
        <v>0</v>
      </c>
      <c r="AA13" s="367">
        <v>0</v>
      </c>
      <c r="AC13" s="266" t="s">
        <v>349</v>
      </c>
      <c r="AD13" s="360">
        <v>10</v>
      </c>
      <c r="AE13" s="361">
        <v>1.6507550355688039</v>
      </c>
      <c r="AF13" s="367">
        <v>0</v>
      </c>
      <c r="AG13" s="367">
        <v>0</v>
      </c>
      <c r="AH13" s="367">
        <v>0</v>
      </c>
      <c r="AJ13" s="266" t="s">
        <v>349</v>
      </c>
      <c r="AK13" s="360">
        <v>10</v>
      </c>
      <c r="AL13" s="361">
        <v>1.6062096187273287</v>
      </c>
      <c r="AM13" s="367">
        <v>0</v>
      </c>
      <c r="AN13" s="367">
        <v>0</v>
      </c>
      <c r="AO13" s="367">
        <v>0</v>
      </c>
      <c r="AQ13" s="266" t="s">
        <v>349</v>
      </c>
      <c r="AR13" s="615">
        <v>10</v>
      </c>
      <c r="AS13" s="582">
        <v>1.607211223239126</v>
      </c>
      <c r="AT13" s="582">
        <v>0</v>
      </c>
      <c r="AU13" s="582">
        <v>0</v>
      </c>
      <c r="AV13" s="581">
        <v>0</v>
      </c>
      <c r="AX13" s="266" t="s">
        <v>435</v>
      </c>
      <c r="AY13" s="615">
        <v>2</v>
      </c>
      <c r="AZ13" s="582" t="s">
        <v>517</v>
      </c>
      <c r="BA13" s="582" t="s">
        <v>379</v>
      </c>
      <c r="BB13" s="582" t="s">
        <v>294</v>
      </c>
      <c r="BC13" s="581" t="s">
        <v>294</v>
      </c>
      <c r="BE13" s="266" t="s">
        <v>435</v>
      </c>
      <c r="BF13" s="615">
        <v>2</v>
      </c>
      <c r="BG13" s="582" t="s">
        <v>517</v>
      </c>
      <c r="BH13" s="582">
        <v>0.30499999999999999</v>
      </c>
      <c r="BI13" s="582" t="s">
        <v>517</v>
      </c>
      <c r="BJ13" s="581" t="s">
        <v>517</v>
      </c>
      <c r="BL13" s="266" t="s">
        <v>435</v>
      </c>
      <c r="BM13" s="582" t="s">
        <v>149</v>
      </c>
      <c r="BN13" s="582" t="s">
        <v>149</v>
      </c>
      <c r="BO13" s="582" t="s">
        <v>149</v>
      </c>
      <c r="BP13" s="582" t="s">
        <v>149</v>
      </c>
      <c r="BQ13" s="581" t="s">
        <v>149</v>
      </c>
      <c r="BS13" s="266" t="s">
        <v>435</v>
      </c>
      <c r="BT13" s="582" t="s">
        <v>149</v>
      </c>
      <c r="BU13" s="582" t="s">
        <v>149</v>
      </c>
      <c r="BV13" s="582" t="s">
        <v>149</v>
      </c>
      <c r="BW13" s="582" t="s">
        <v>149</v>
      </c>
      <c r="BX13" s="581" t="s">
        <v>149</v>
      </c>
      <c r="BZ13" s="266" t="s">
        <v>435</v>
      </c>
      <c r="CA13" s="582" t="s">
        <v>149</v>
      </c>
      <c r="CB13" s="582" t="s">
        <v>149</v>
      </c>
      <c r="CC13" s="582" t="s">
        <v>149</v>
      </c>
      <c r="CD13" s="582" t="s">
        <v>149</v>
      </c>
      <c r="CE13" s="581" t="s">
        <v>149</v>
      </c>
      <c r="CG13" s="266" t="s">
        <v>435</v>
      </c>
      <c r="CH13" s="582" t="s">
        <v>149</v>
      </c>
      <c r="CI13" s="582" t="s">
        <v>149</v>
      </c>
      <c r="CJ13" s="582" t="s">
        <v>149</v>
      </c>
      <c r="CK13" s="582" t="s">
        <v>149</v>
      </c>
      <c r="CL13" s="581" t="s">
        <v>149</v>
      </c>
      <c r="CN13" s="266" t="s">
        <v>435</v>
      </c>
      <c r="CO13" s="582" t="s">
        <v>149</v>
      </c>
      <c r="CP13" s="582" t="s">
        <v>149</v>
      </c>
      <c r="CQ13" s="582" t="s">
        <v>149</v>
      </c>
      <c r="CR13" s="582" t="s">
        <v>149</v>
      </c>
      <c r="CS13" s="581" t="s">
        <v>149</v>
      </c>
      <c r="CU13" s="266" t="s">
        <v>435</v>
      </c>
      <c r="CV13" s="582" t="s">
        <v>149</v>
      </c>
      <c r="CW13" s="582" t="s">
        <v>149</v>
      </c>
      <c r="CX13" s="582" t="s">
        <v>149</v>
      </c>
      <c r="CY13" s="582" t="s">
        <v>149</v>
      </c>
      <c r="CZ13" s="582" t="s">
        <v>149</v>
      </c>
      <c r="DA13" s="328"/>
      <c r="DB13" s="266" t="s">
        <v>435</v>
      </c>
      <c r="DC13" s="582" t="s">
        <v>149</v>
      </c>
      <c r="DD13" s="582" t="s">
        <v>149</v>
      </c>
      <c r="DE13" s="582" t="s">
        <v>149</v>
      </c>
      <c r="DF13" s="582" t="s">
        <v>149</v>
      </c>
      <c r="DG13" s="582" t="s">
        <v>149</v>
      </c>
      <c r="DH13" s="328"/>
      <c r="DI13" s="266" t="s">
        <v>435</v>
      </c>
      <c r="DJ13" s="582" t="s">
        <v>149</v>
      </c>
      <c r="DK13" s="582" t="s">
        <v>149</v>
      </c>
      <c r="DL13" s="582" t="s">
        <v>149</v>
      </c>
      <c r="DM13" s="582" t="s">
        <v>149</v>
      </c>
      <c r="DN13" s="582" t="s">
        <v>149</v>
      </c>
    </row>
    <row r="14" spans="1:118">
      <c r="A14" s="266" t="s">
        <v>225</v>
      </c>
      <c r="B14" s="360" t="s">
        <v>149</v>
      </c>
      <c r="C14" s="367" t="s">
        <v>149</v>
      </c>
      <c r="D14" s="367" t="s">
        <v>149</v>
      </c>
      <c r="E14" s="367" t="s">
        <v>149</v>
      </c>
      <c r="F14" s="367" t="s">
        <v>149</v>
      </c>
      <c r="H14" s="266" t="s">
        <v>225</v>
      </c>
      <c r="I14" s="360" t="s">
        <v>149</v>
      </c>
      <c r="J14" s="367" t="s">
        <v>149</v>
      </c>
      <c r="K14" s="367" t="s">
        <v>149</v>
      </c>
      <c r="L14" s="367" t="s">
        <v>149</v>
      </c>
      <c r="M14" s="367" t="s">
        <v>149</v>
      </c>
      <c r="O14" s="266" t="s">
        <v>225</v>
      </c>
      <c r="P14" s="367">
        <v>9.9700000000000006</v>
      </c>
      <c r="Q14" s="367">
        <v>0.5</v>
      </c>
      <c r="R14" s="367" t="s">
        <v>517</v>
      </c>
      <c r="S14" s="367">
        <v>30</v>
      </c>
      <c r="T14" s="367" t="s">
        <v>517</v>
      </c>
      <c r="V14" s="266" t="s">
        <v>225</v>
      </c>
      <c r="W14" s="367">
        <v>9.9700000000000006</v>
      </c>
      <c r="X14" s="367">
        <v>0.5</v>
      </c>
      <c r="Y14" s="367" t="s">
        <v>517</v>
      </c>
      <c r="Z14" s="367">
        <v>30</v>
      </c>
      <c r="AA14" s="367" t="s">
        <v>517</v>
      </c>
      <c r="AC14" s="266" t="s">
        <v>350</v>
      </c>
      <c r="AD14" s="360">
        <v>10</v>
      </c>
      <c r="AE14" s="361">
        <v>1.4494179175847672</v>
      </c>
      <c r="AF14" s="361">
        <v>1.214287504251419</v>
      </c>
      <c r="AG14" s="582" t="s">
        <v>517</v>
      </c>
      <c r="AH14" s="581" t="s">
        <v>517</v>
      </c>
      <c r="AJ14" s="266" t="s">
        <v>350</v>
      </c>
      <c r="AK14" s="360">
        <v>10</v>
      </c>
      <c r="AL14" s="361">
        <v>1.3750378283737528</v>
      </c>
      <c r="AM14" s="361">
        <v>1.2155449206636519</v>
      </c>
      <c r="AN14" s="582" t="s">
        <v>517</v>
      </c>
      <c r="AO14" s="581" t="s">
        <v>517</v>
      </c>
      <c r="AQ14" s="266" t="s">
        <v>350</v>
      </c>
      <c r="AR14" s="360">
        <v>10</v>
      </c>
      <c r="AS14" s="275">
        <v>1.1513304427834739</v>
      </c>
      <c r="AT14" s="275">
        <v>1.2136868050961394</v>
      </c>
      <c r="AU14" s="360">
        <v>0</v>
      </c>
      <c r="AV14" s="360">
        <v>0</v>
      </c>
      <c r="AX14" s="266" t="s">
        <v>349</v>
      </c>
      <c r="AY14" s="360">
        <v>10</v>
      </c>
      <c r="AZ14" s="275">
        <v>1.6056585845137585</v>
      </c>
      <c r="BA14" s="275">
        <v>0</v>
      </c>
      <c r="BB14" s="360" t="s">
        <v>517</v>
      </c>
      <c r="BC14" s="360" t="s">
        <v>517</v>
      </c>
      <c r="BE14" s="266" t="s">
        <v>349</v>
      </c>
      <c r="BF14" s="360">
        <v>10</v>
      </c>
      <c r="BG14" s="275">
        <v>1.6052760447555081</v>
      </c>
      <c r="BH14" s="275">
        <v>0</v>
      </c>
      <c r="BI14" s="360">
        <v>0</v>
      </c>
      <c r="BJ14" s="360">
        <v>0</v>
      </c>
      <c r="BL14" s="266" t="s">
        <v>349</v>
      </c>
      <c r="BM14" s="360">
        <v>10</v>
      </c>
      <c r="BN14" s="275">
        <v>1.6046494122372141</v>
      </c>
      <c r="BO14" s="275">
        <v>0</v>
      </c>
      <c r="BP14" s="360" t="s">
        <v>517</v>
      </c>
      <c r="BQ14" s="360" t="s">
        <v>517</v>
      </c>
      <c r="BS14" s="266" t="s">
        <v>349</v>
      </c>
      <c r="BT14" s="360">
        <v>10</v>
      </c>
      <c r="BU14" s="275">
        <v>1.6037628746011958</v>
      </c>
      <c r="BV14" s="275" t="s">
        <v>517</v>
      </c>
      <c r="BW14" s="360" t="s">
        <v>517</v>
      </c>
      <c r="BX14" s="360" t="s">
        <v>517</v>
      </c>
      <c r="BZ14" s="266" t="s">
        <v>349</v>
      </c>
      <c r="CA14" s="387">
        <v>10</v>
      </c>
      <c r="CB14" s="275">
        <v>1.603072403746469</v>
      </c>
      <c r="CC14" s="387">
        <v>0</v>
      </c>
      <c r="CD14" s="275" t="s">
        <v>517</v>
      </c>
      <c r="CE14" s="360" t="s">
        <v>517</v>
      </c>
      <c r="CG14" s="266" t="s">
        <v>349</v>
      </c>
      <c r="CH14" s="387">
        <v>10</v>
      </c>
      <c r="CI14" s="275">
        <v>1.58</v>
      </c>
      <c r="CJ14" s="387" t="s">
        <v>517</v>
      </c>
      <c r="CK14" s="275" t="s">
        <v>517</v>
      </c>
      <c r="CL14" s="360" t="s">
        <v>517</v>
      </c>
      <c r="CN14" s="266" t="s">
        <v>349</v>
      </c>
      <c r="CO14" s="607">
        <v>10</v>
      </c>
      <c r="CP14" s="613">
        <v>1.58</v>
      </c>
      <c r="CQ14" s="598" t="s">
        <v>517</v>
      </c>
      <c r="CR14" s="582" t="s">
        <v>517</v>
      </c>
      <c r="CS14" s="581" t="s">
        <v>517</v>
      </c>
      <c r="CU14" s="266" t="s">
        <v>349</v>
      </c>
      <c r="CV14" s="607">
        <v>10</v>
      </c>
      <c r="CW14" s="613">
        <v>1.58</v>
      </c>
      <c r="CX14" s="598" t="s">
        <v>517</v>
      </c>
      <c r="CY14" s="582" t="s">
        <v>517</v>
      </c>
      <c r="CZ14" s="582" t="s">
        <v>517</v>
      </c>
      <c r="DA14" s="328"/>
      <c r="DB14" s="266" t="s">
        <v>349</v>
      </c>
      <c r="DC14" s="607">
        <v>10</v>
      </c>
      <c r="DD14" s="613" t="s">
        <v>528</v>
      </c>
      <c r="DE14" s="615">
        <v>1.1200000000000001</v>
      </c>
      <c r="DF14" s="582">
        <v>0</v>
      </c>
      <c r="DG14" s="582" t="s">
        <v>517</v>
      </c>
      <c r="DH14" s="328"/>
      <c r="DI14" s="266" t="s">
        <v>349</v>
      </c>
      <c r="DJ14" s="607">
        <v>10</v>
      </c>
      <c r="DK14" s="613">
        <v>1.58</v>
      </c>
      <c r="DL14" s="615">
        <v>0.99</v>
      </c>
      <c r="DM14" s="582">
        <v>0</v>
      </c>
      <c r="DN14" s="582" t="s">
        <v>517</v>
      </c>
    </row>
    <row r="15" spans="1:118" ht="17.25">
      <c r="A15" s="267" t="s">
        <v>436</v>
      </c>
      <c r="B15" s="608" t="s">
        <v>149</v>
      </c>
      <c r="C15" s="368" t="s">
        <v>149</v>
      </c>
      <c r="D15" s="368" t="s">
        <v>149</v>
      </c>
      <c r="E15" s="368" t="s">
        <v>149</v>
      </c>
      <c r="F15" s="368" t="s">
        <v>149</v>
      </c>
      <c r="H15" s="267" t="s">
        <v>436</v>
      </c>
      <c r="I15" s="608" t="s">
        <v>149</v>
      </c>
      <c r="J15" s="368" t="s">
        <v>149</v>
      </c>
      <c r="K15" s="368" t="s">
        <v>149</v>
      </c>
      <c r="L15" s="368" t="s">
        <v>149</v>
      </c>
      <c r="M15" s="368" t="s">
        <v>149</v>
      </c>
      <c r="O15" s="267" t="s">
        <v>436</v>
      </c>
      <c r="P15" s="609" t="s">
        <v>149</v>
      </c>
      <c r="Q15" s="609" t="s">
        <v>149</v>
      </c>
      <c r="R15" s="609" t="s">
        <v>149</v>
      </c>
      <c r="S15" s="609" t="s">
        <v>149</v>
      </c>
      <c r="T15" s="610" t="s">
        <v>149</v>
      </c>
      <c r="V15" s="267" t="s">
        <v>436</v>
      </c>
      <c r="W15" s="609" t="s">
        <v>149</v>
      </c>
      <c r="X15" s="609" t="s">
        <v>149</v>
      </c>
      <c r="Y15" s="609" t="s">
        <v>149</v>
      </c>
      <c r="Z15" s="609" t="s">
        <v>149</v>
      </c>
      <c r="AA15" s="610" t="s">
        <v>149</v>
      </c>
      <c r="AC15" s="266" t="s">
        <v>225</v>
      </c>
      <c r="AD15" s="367">
        <v>9.9700000000000006</v>
      </c>
      <c r="AE15" s="367">
        <v>0.5</v>
      </c>
      <c r="AF15" s="582" t="s">
        <v>517</v>
      </c>
      <c r="AG15" s="367">
        <v>25</v>
      </c>
      <c r="AH15" s="581" t="s">
        <v>517</v>
      </c>
      <c r="AJ15" s="266" t="s">
        <v>225</v>
      </c>
      <c r="AK15" s="367">
        <v>9.9700000000000006</v>
      </c>
      <c r="AL15" s="367">
        <v>0.5</v>
      </c>
      <c r="AM15" s="582" t="s">
        <v>517</v>
      </c>
      <c r="AN15" s="367">
        <v>25</v>
      </c>
      <c r="AO15" s="581" t="s">
        <v>517</v>
      </c>
      <c r="AQ15" s="266" t="s">
        <v>225</v>
      </c>
      <c r="AR15" s="360">
        <v>9.9700000000000006</v>
      </c>
      <c r="AS15" s="275">
        <v>0.5</v>
      </c>
      <c r="AT15" s="361" t="s">
        <v>517</v>
      </c>
      <c r="AU15" s="360">
        <v>25</v>
      </c>
      <c r="AV15" s="360" t="s">
        <v>517</v>
      </c>
      <c r="AX15" s="266" t="s">
        <v>350</v>
      </c>
      <c r="AY15" s="360">
        <v>10</v>
      </c>
      <c r="AZ15" s="275">
        <v>1.098979319284952</v>
      </c>
      <c r="BA15" s="361">
        <v>1.2215340294872481</v>
      </c>
      <c r="BB15" s="360">
        <v>0</v>
      </c>
      <c r="BC15" s="360">
        <v>0</v>
      </c>
      <c r="BE15" s="266" t="s">
        <v>350</v>
      </c>
      <c r="BF15" s="360">
        <v>10</v>
      </c>
      <c r="BG15" s="275">
        <v>0.65124626108583961</v>
      </c>
      <c r="BH15" s="361">
        <v>1.2236242368835819</v>
      </c>
      <c r="BI15" s="360">
        <v>0</v>
      </c>
      <c r="BJ15" s="360">
        <v>0</v>
      </c>
      <c r="BL15" s="266" t="s">
        <v>350</v>
      </c>
      <c r="BM15" s="360">
        <v>10</v>
      </c>
      <c r="BN15" s="275">
        <v>0.6115278841208408</v>
      </c>
      <c r="BO15" s="361">
        <v>1.2257367731855677</v>
      </c>
      <c r="BP15" s="360" t="s">
        <v>517</v>
      </c>
      <c r="BQ15" s="360" t="s">
        <v>517</v>
      </c>
      <c r="BS15" s="266" t="s">
        <v>350</v>
      </c>
      <c r="BT15" s="360">
        <v>10</v>
      </c>
      <c r="BU15" s="275">
        <v>0.27479832095091783</v>
      </c>
      <c r="BV15" s="361">
        <v>1.1214945568952635</v>
      </c>
      <c r="BW15" s="360" t="s">
        <v>517</v>
      </c>
      <c r="BX15" s="360" t="s">
        <v>517</v>
      </c>
      <c r="BZ15" s="266" t="s">
        <v>350</v>
      </c>
      <c r="CA15" s="387">
        <v>10</v>
      </c>
      <c r="CB15" s="275">
        <v>0.25663788442514274</v>
      </c>
      <c r="CC15" s="623">
        <v>1.1021101968430771</v>
      </c>
      <c r="CD15" s="275" t="s">
        <v>517</v>
      </c>
      <c r="CE15" s="360" t="s">
        <v>517</v>
      </c>
      <c r="CG15" s="266" t="s">
        <v>350</v>
      </c>
      <c r="CH15" s="387">
        <v>10</v>
      </c>
      <c r="CI15" s="275">
        <v>0.17</v>
      </c>
      <c r="CJ15" s="623">
        <v>1.1225000000000001</v>
      </c>
      <c r="CK15" s="275" t="s">
        <v>517</v>
      </c>
      <c r="CL15" s="360" t="s">
        <v>517</v>
      </c>
      <c r="CN15" s="266" t="s">
        <v>350</v>
      </c>
      <c r="CO15" s="607">
        <v>10</v>
      </c>
      <c r="CP15" s="613">
        <v>0.17</v>
      </c>
      <c r="CQ15" s="619">
        <v>1.1225000000000001</v>
      </c>
      <c r="CR15" s="582" t="s">
        <v>517</v>
      </c>
      <c r="CS15" s="581" t="s">
        <v>517</v>
      </c>
      <c r="CU15" s="266" t="s">
        <v>350</v>
      </c>
      <c r="CV15" s="607">
        <v>10</v>
      </c>
      <c r="CW15" s="613">
        <v>0</v>
      </c>
      <c r="CX15" s="619">
        <v>1.1225000000000001</v>
      </c>
      <c r="CY15" s="582" t="s">
        <v>517</v>
      </c>
      <c r="CZ15" s="582" t="s">
        <v>517</v>
      </c>
      <c r="DA15" s="328"/>
      <c r="DB15" s="266" t="s">
        <v>350</v>
      </c>
      <c r="DC15" s="607">
        <v>10</v>
      </c>
      <c r="DD15" s="613" t="s">
        <v>529</v>
      </c>
      <c r="DE15" s="619">
        <v>1.1200000000000001</v>
      </c>
      <c r="DF15" s="582">
        <v>0</v>
      </c>
      <c r="DG15" s="582" t="s">
        <v>517</v>
      </c>
      <c r="DH15" s="328"/>
      <c r="DI15" s="266" t="s">
        <v>350</v>
      </c>
      <c r="DJ15" s="607"/>
      <c r="DK15" s="613">
        <v>0</v>
      </c>
      <c r="DL15" s="619"/>
      <c r="DM15" s="582">
        <v>0</v>
      </c>
      <c r="DN15" s="582" t="s">
        <v>517</v>
      </c>
    </row>
    <row r="16" spans="1:118" ht="17.25">
      <c r="A16" s="29" t="s">
        <v>256</v>
      </c>
      <c r="B16" s="29"/>
      <c r="H16" s="29" t="s">
        <v>257</v>
      </c>
      <c r="O16" s="29" t="s">
        <v>257</v>
      </c>
      <c r="V16" s="29" t="s">
        <v>257</v>
      </c>
      <c r="AC16" s="267" t="s">
        <v>436</v>
      </c>
      <c r="AD16" s="368" t="s">
        <v>149</v>
      </c>
      <c r="AE16" s="376" t="s">
        <v>149</v>
      </c>
      <c r="AF16" s="629" t="s">
        <v>149</v>
      </c>
      <c r="AG16" s="368" t="s">
        <v>149</v>
      </c>
      <c r="AH16" s="368" t="s">
        <v>149</v>
      </c>
      <c r="AJ16" s="267" t="s">
        <v>436</v>
      </c>
      <c r="AK16" s="368">
        <v>15</v>
      </c>
      <c r="AL16" s="376">
        <v>2.9115406434311062</v>
      </c>
      <c r="AM16" s="629">
        <v>1.5009999999999999E-3</v>
      </c>
      <c r="AN16" s="368">
        <v>0</v>
      </c>
      <c r="AO16" s="368">
        <v>0</v>
      </c>
      <c r="AQ16" s="267" t="s">
        <v>436</v>
      </c>
      <c r="AR16" s="376">
        <v>15</v>
      </c>
      <c r="AS16" s="627">
        <v>3.1199810000000001</v>
      </c>
      <c r="AT16" s="608">
        <v>1.462E-3</v>
      </c>
      <c r="AU16" s="627">
        <v>0</v>
      </c>
      <c r="AV16" s="608">
        <v>0</v>
      </c>
      <c r="AX16" s="266" t="s">
        <v>225</v>
      </c>
      <c r="AY16" s="361">
        <v>9.9700000000000006</v>
      </c>
      <c r="AZ16" s="275">
        <v>0.5</v>
      </c>
      <c r="BA16" s="360" t="s">
        <v>517</v>
      </c>
      <c r="BB16" s="275">
        <v>25</v>
      </c>
      <c r="BC16" s="360" t="s">
        <v>517</v>
      </c>
      <c r="BE16" s="266" t="s">
        <v>225</v>
      </c>
      <c r="BF16" s="361">
        <v>9.9700000000000006</v>
      </c>
      <c r="BG16" s="275">
        <v>0.5</v>
      </c>
      <c r="BH16" s="360" t="s">
        <v>517</v>
      </c>
      <c r="BI16" s="275">
        <v>25</v>
      </c>
      <c r="BJ16" s="360" t="s">
        <v>517</v>
      </c>
      <c r="BL16" s="266" t="s">
        <v>225</v>
      </c>
      <c r="BM16" s="361">
        <v>9.9700000000000006</v>
      </c>
      <c r="BN16" s="275">
        <v>0.5</v>
      </c>
      <c r="BO16" s="360" t="s">
        <v>517</v>
      </c>
      <c r="BP16" s="275">
        <v>25</v>
      </c>
      <c r="BQ16" s="360" t="s">
        <v>517</v>
      </c>
      <c r="BS16" s="266" t="s">
        <v>225</v>
      </c>
      <c r="BT16" s="361">
        <v>8</v>
      </c>
      <c r="BU16" s="275">
        <v>0.5</v>
      </c>
      <c r="BV16" s="360" t="s">
        <v>517</v>
      </c>
      <c r="BW16" s="275">
        <v>25</v>
      </c>
      <c r="BX16" s="360" t="s">
        <v>517</v>
      </c>
      <c r="BZ16" s="266" t="s">
        <v>225</v>
      </c>
      <c r="CA16" s="361">
        <v>8.4</v>
      </c>
      <c r="CB16" s="275" t="s">
        <v>461</v>
      </c>
      <c r="CC16" s="624">
        <v>1.2</v>
      </c>
      <c r="CD16" s="275" t="s">
        <v>517</v>
      </c>
      <c r="CE16" s="360" t="s">
        <v>517</v>
      </c>
      <c r="CG16" s="266" t="s">
        <v>225</v>
      </c>
      <c r="CH16" s="361">
        <v>8.4</v>
      </c>
      <c r="CI16" s="275" t="s">
        <v>517</v>
      </c>
      <c r="CJ16" s="624" t="s">
        <v>517</v>
      </c>
      <c r="CK16" s="275" t="s">
        <v>517</v>
      </c>
      <c r="CL16" s="360" t="s">
        <v>517</v>
      </c>
      <c r="CN16" s="266" t="s">
        <v>225</v>
      </c>
      <c r="CO16" s="607" t="s">
        <v>517</v>
      </c>
      <c r="CP16" s="600" t="s">
        <v>517</v>
      </c>
      <c r="CQ16" s="619">
        <v>1.0999999999999999E-2</v>
      </c>
      <c r="CR16" s="582" t="s">
        <v>517</v>
      </c>
      <c r="CS16" s="581" t="s">
        <v>517</v>
      </c>
      <c r="CU16" s="266" t="s">
        <v>225</v>
      </c>
      <c r="CV16" s="607">
        <v>8.4</v>
      </c>
      <c r="CW16" s="600" t="s">
        <v>517</v>
      </c>
      <c r="CX16" s="619">
        <v>1.05</v>
      </c>
      <c r="CY16" s="582" t="s">
        <v>517</v>
      </c>
      <c r="CZ16" s="582" t="s">
        <v>517</v>
      </c>
      <c r="DA16" s="328"/>
      <c r="DB16" s="266" t="s">
        <v>225</v>
      </c>
      <c r="DC16" s="607">
        <v>8.4000000000000005E-2</v>
      </c>
      <c r="DD16" s="600" t="s">
        <v>461</v>
      </c>
      <c r="DE16" s="619">
        <v>0.01</v>
      </c>
      <c r="DF16" s="582" t="s">
        <v>461</v>
      </c>
      <c r="DG16" s="582" t="s">
        <v>517</v>
      </c>
      <c r="DH16" s="328"/>
      <c r="DI16" s="266" t="s">
        <v>225</v>
      </c>
      <c r="DJ16" s="607">
        <v>8.4000000000000005E-2</v>
      </c>
      <c r="DK16" s="600" t="s">
        <v>461</v>
      </c>
      <c r="DL16" s="619">
        <v>9.4999999999999998E-3</v>
      </c>
      <c r="DM16" s="582" t="s">
        <v>461</v>
      </c>
      <c r="DN16" s="582" t="s">
        <v>517</v>
      </c>
    </row>
    <row r="17" spans="1:118" ht="17.25">
      <c r="A17" s="29" t="s">
        <v>257</v>
      </c>
      <c r="B17" s="29"/>
      <c r="H17" s="29" t="s">
        <v>258</v>
      </c>
      <c r="O17" s="29" t="s">
        <v>258</v>
      </c>
      <c r="V17" s="29" t="s">
        <v>258</v>
      </c>
      <c r="AC17" s="29" t="s">
        <v>257</v>
      </c>
      <c r="AJ17" s="29" t="s">
        <v>257</v>
      </c>
      <c r="AQ17" s="29" t="s">
        <v>257</v>
      </c>
      <c r="AX17" s="267" t="s">
        <v>436</v>
      </c>
      <c r="AY17" s="368">
        <v>15</v>
      </c>
      <c r="AZ17" s="376">
        <v>3.3738239999999999</v>
      </c>
      <c r="BA17" s="377">
        <v>1.5319999999999999E-3</v>
      </c>
      <c r="BB17" s="368">
        <v>0</v>
      </c>
      <c r="BC17" s="368">
        <v>0</v>
      </c>
      <c r="BE17" s="267" t="s">
        <v>436</v>
      </c>
      <c r="BF17" s="368">
        <v>15</v>
      </c>
      <c r="BG17" s="376">
        <v>1.2290000000000001</v>
      </c>
      <c r="BH17" s="377">
        <v>1.333E-3</v>
      </c>
      <c r="BI17" s="368">
        <v>0</v>
      </c>
      <c r="BJ17" s="368">
        <v>0</v>
      </c>
      <c r="BL17" s="267" t="s">
        <v>436</v>
      </c>
      <c r="BM17" s="368">
        <v>15</v>
      </c>
      <c r="BN17" s="376">
        <v>1.1679999999999999</v>
      </c>
      <c r="BO17" s="377">
        <v>0.1331</v>
      </c>
      <c r="BP17" s="368" t="s">
        <v>517</v>
      </c>
      <c r="BQ17" s="368" t="s">
        <v>517</v>
      </c>
      <c r="BS17" s="267" t="s">
        <v>436</v>
      </c>
      <c r="BT17" s="368">
        <v>15</v>
      </c>
      <c r="BU17" s="376">
        <v>0.94599999999999995</v>
      </c>
      <c r="BV17" s="377">
        <v>1.4100000000000001E-5</v>
      </c>
      <c r="BW17" s="368" t="s">
        <v>517</v>
      </c>
      <c r="BX17" s="368" t="s">
        <v>517</v>
      </c>
      <c r="BZ17" s="267" t="s">
        <v>436</v>
      </c>
      <c r="CA17" s="368">
        <v>15</v>
      </c>
      <c r="CB17" s="376">
        <v>0.81047199999999997</v>
      </c>
      <c r="CC17" s="377">
        <v>1.4100000000000001E-5</v>
      </c>
      <c r="CD17" s="368" t="s">
        <v>517</v>
      </c>
      <c r="CE17" s="368" t="s">
        <v>517</v>
      </c>
      <c r="CG17" s="267" t="s">
        <v>436</v>
      </c>
      <c r="CH17" s="368">
        <v>15</v>
      </c>
      <c r="CI17" s="376">
        <v>0.81100000000000005</v>
      </c>
      <c r="CJ17" s="377">
        <v>1.3859999999999999E-5</v>
      </c>
      <c r="CK17" s="368" t="s">
        <v>517</v>
      </c>
      <c r="CL17" s="368" t="s">
        <v>517</v>
      </c>
      <c r="CN17" s="267" t="s">
        <v>436</v>
      </c>
      <c r="CO17" s="618">
        <v>15</v>
      </c>
      <c r="CP17" s="621">
        <v>0.79304699999999995</v>
      </c>
      <c r="CQ17" s="620">
        <v>1.3780000000000001E-3</v>
      </c>
      <c r="CR17" s="609">
        <v>0</v>
      </c>
      <c r="CS17" s="610">
        <v>0</v>
      </c>
      <c r="CU17" s="611" t="s">
        <v>436</v>
      </c>
      <c r="CV17" s="618">
        <v>15</v>
      </c>
      <c r="CW17" s="667">
        <v>0.78956300000000001</v>
      </c>
      <c r="CX17" s="668">
        <v>1.364E-3</v>
      </c>
      <c r="CY17" s="609" t="s">
        <v>517</v>
      </c>
      <c r="CZ17" s="610" t="s">
        <v>517</v>
      </c>
      <c r="DB17" s="611" t="s">
        <v>436</v>
      </c>
      <c r="DC17" s="618">
        <v>15</v>
      </c>
      <c r="DD17" s="667">
        <v>0.75265000000000004</v>
      </c>
      <c r="DE17" s="668">
        <v>1.4E-3</v>
      </c>
      <c r="DF17" s="609">
        <v>0</v>
      </c>
      <c r="DG17" s="610">
        <v>0</v>
      </c>
      <c r="DI17" s="611" t="s">
        <v>436</v>
      </c>
      <c r="DJ17" s="618">
        <v>15</v>
      </c>
      <c r="DK17" s="667">
        <v>0.73467800000000005</v>
      </c>
      <c r="DL17" s="668">
        <v>1.5250000000000001E-3</v>
      </c>
      <c r="DM17" s="609"/>
      <c r="DN17" s="610"/>
    </row>
    <row r="18" spans="1:118">
      <c r="A18" s="29" t="s">
        <v>258</v>
      </c>
      <c r="B18" s="29"/>
      <c r="AC18" s="29" t="s">
        <v>258</v>
      </c>
      <c r="AJ18" s="29" t="s">
        <v>258</v>
      </c>
      <c r="AQ18" s="29" t="s">
        <v>258</v>
      </c>
      <c r="AX18" s="29" t="s">
        <v>257</v>
      </c>
      <c r="BE18" s="29" t="s">
        <v>257</v>
      </c>
      <c r="BL18" s="29" t="s">
        <v>257</v>
      </c>
      <c r="BS18" s="29" t="s">
        <v>257</v>
      </c>
      <c r="BZ18" s="29" t="s">
        <v>257</v>
      </c>
      <c r="CG18" s="29" t="s">
        <v>257</v>
      </c>
      <c r="CN18" s="29" t="s">
        <v>257</v>
      </c>
      <c r="CU18" s="29" t="s">
        <v>257</v>
      </c>
      <c r="DB18" s="29" t="s">
        <v>257</v>
      </c>
      <c r="DI18" s="29" t="s">
        <v>257</v>
      </c>
    </row>
    <row r="19" spans="1:118">
      <c r="A19" s="29"/>
      <c r="B19" s="29"/>
      <c r="AX19" s="29" t="s">
        <v>258</v>
      </c>
      <c r="BE19" s="29" t="s">
        <v>258</v>
      </c>
      <c r="BL19" s="29" t="s">
        <v>258</v>
      </c>
      <c r="BS19" s="29" t="s">
        <v>258</v>
      </c>
      <c r="BZ19" s="29" t="s">
        <v>258</v>
      </c>
      <c r="CG19" s="29" t="s">
        <v>258</v>
      </c>
      <c r="CN19" s="29" t="s">
        <v>258</v>
      </c>
      <c r="CU19" s="29" t="s">
        <v>258</v>
      </c>
      <c r="DB19" s="29" t="s">
        <v>258</v>
      </c>
      <c r="DI19" s="29" t="s">
        <v>258</v>
      </c>
    </row>
    <row r="20" spans="1:118">
      <c r="A20" s="29"/>
      <c r="B20" s="29"/>
      <c r="AX20" s="29" t="s">
        <v>381</v>
      </c>
      <c r="BE20" s="29" t="s">
        <v>381</v>
      </c>
      <c r="BL20" s="29" t="s">
        <v>381</v>
      </c>
      <c r="BS20" s="29" t="s">
        <v>381</v>
      </c>
      <c r="BZ20" s="29" t="s">
        <v>381</v>
      </c>
      <c r="CG20" s="29" t="s">
        <v>381</v>
      </c>
      <c r="CN20" s="29" t="s">
        <v>381</v>
      </c>
      <c r="CU20" s="29" t="s">
        <v>381</v>
      </c>
      <c r="DB20" s="29" t="s">
        <v>381</v>
      </c>
      <c r="DI20" s="29" t="s">
        <v>381</v>
      </c>
    </row>
    <row r="21" spans="1:118">
      <c r="A21" s="29"/>
      <c r="B21" s="29"/>
      <c r="BE21" s="29" t="s">
        <v>394</v>
      </c>
      <c r="BL21" s="29" t="s">
        <v>394</v>
      </c>
      <c r="BS21" s="29" t="s">
        <v>394</v>
      </c>
      <c r="BZ21" s="29" t="s">
        <v>394</v>
      </c>
      <c r="CG21" s="29" t="s">
        <v>394</v>
      </c>
      <c r="CN21" s="29" t="s">
        <v>394</v>
      </c>
      <c r="CU21" s="29" t="s">
        <v>394</v>
      </c>
      <c r="DB21" s="29" t="s">
        <v>394</v>
      </c>
      <c r="DI21" s="29" t="s">
        <v>394</v>
      </c>
    </row>
    <row r="22" spans="1:118">
      <c r="A22" s="9" t="s">
        <v>259</v>
      </c>
      <c r="B22" s="9"/>
      <c r="H22" s="9" t="s">
        <v>259</v>
      </c>
      <c r="I22" s="9"/>
      <c r="O22" s="9" t="s">
        <v>259</v>
      </c>
      <c r="P22" s="9"/>
      <c r="V22" s="9" t="s">
        <v>259</v>
      </c>
      <c r="W22" s="9"/>
      <c r="AC22" s="9" t="s">
        <v>259</v>
      </c>
      <c r="AD22" s="9"/>
      <c r="AJ22" s="9" t="s">
        <v>259</v>
      </c>
      <c r="AK22" s="9"/>
      <c r="AQ22" s="9" t="s">
        <v>259</v>
      </c>
      <c r="AR22" s="9"/>
      <c r="AX22" s="9" t="s">
        <v>259</v>
      </c>
      <c r="AY22" s="9"/>
      <c r="BE22" s="9" t="s">
        <v>259</v>
      </c>
      <c r="BF22" s="9"/>
      <c r="BL22" s="9" t="s">
        <v>259</v>
      </c>
      <c r="BM22" s="9"/>
      <c r="BS22" s="9" t="s">
        <v>259</v>
      </c>
      <c r="BT22" s="9"/>
      <c r="BZ22" s="9" t="s">
        <v>259</v>
      </c>
      <c r="CA22" s="9"/>
      <c r="CG22" s="9" t="s">
        <v>259</v>
      </c>
      <c r="CH22" s="9"/>
      <c r="CN22" s="9" t="s">
        <v>259</v>
      </c>
      <c r="CO22" s="9"/>
      <c r="CU22" s="9" t="s">
        <v>259</v>
      </c>
      <c r="CV22" s="9"/>
      <c r="DB22" s="9" t="s">
        <v>259</v>
      </c>
      <c r="DC22" s="9"/>
      <c r="DI22" s="9" t="s">
        <v>259</v>
      </c>
      <c r="DJ22" s="9"/>
    </row>
    <row r="23" spans="1:118" ht="8.1" customHeight="1">
      <c r="A23" s="29"/>
      <c r="B23" s="29"/>
    </row>
    <row r="24" spans="1:118" ht="39" customHeight="1">
      <c r="A24" s="715" t="s">
        <v>0</v>
      </c>
      <c r="B24" s="265" t="s">
        <v>260</v>
      </c>
      <c r="C24" s="265" t="s">
        <v>261</v>
      </c>
      <c r="D24" s="265" t="s">
        <v>262</v>
      </c>
      <c r="E24" s="265" t="s">
        <v>10</v>
      </c>
      <c r="H24" s="715" t="s">
        <v>0</v>
      </c>
      <c r="I24" s="265" t="s">
        <v>260</v>
      </c>
      <c r="J24" s="265" t="s">
        <v>261</v>
      </c>
      <c r="K24" s="265" t="s">
        <v>262</v>
      </c>
      <c r="L24" s="265" t="s">
        <v>10</v>
      </c>
      <c r="O24" s="715" t="s">
        <v>0</v>
      </c>
      <c r="P24" s="265" t="s">
        <v>260</v>
      </c>
      <c r="Q24" s="265" t="s">
        <v>261</v>
      </c>
      <c r="R24" s="265" t="s">
        <v>262</v>
      </c>
      <c r="S24" s="265" t="s">
        <v>10</v>
      </c>
      <c r="V24" s="715" t="s">
        <v>0</v>
      </c>
      <c r="W24" s="265" t="s">
        <v>260</v>
      </c>
      <c r="X24" s="265" t="s">
        <v>261</v>
      </c>
      <c r="Y24" s="265" t="s">
        <v>262</v>
      </c>
      <c r="Z24" s="265" t="s">
        <v>10</v>
      </c>
      <c r="AC24" s="715" t="s">
        <v>0</v>
      </c>
      <c r="AD24" s="265" t="s">
        <v>260</v>
      </c>
      <c r="AE24" s="265" t="s">
        <v>261</v>
      </c>
      <c r="AF24" s="265" t="s">
        <v>262</v>
      </c>
      <c r="AG24" s="265" t="s">
        <v>10</v>
      </c>
      <c r="AJ24" s="715" t="s">
        <v>0</v>
      </c>
      <c r="AK24" s="265" t="s">
        <v>260</v>
      </c>
      <c r="AL24" s="265" t="s">
        <v>261</v>
      </c>
      <c r="AM24" s="265" t="s">
        <v>262</v>
      </c>
      <c r="AN24" s="265" t="s">
        <v>10</v>
      </c>
      <c r="AQ24" s="715" t="s">
        <v>0</v>
      </c>
      <c r="AR24" s="265" t="s">
        <v>260</v>
      </c>
      <c r="AS24" s="265" t="s">
        <v>261</v>
      </c>
      <c r="AT24" s="265" t="s">
        <v>262</v>
      </c>
      <c r="AU24" s="265" t="s">
        <v>10</v>
      </c>
      <c r="AX24" s="715" t="s">
        <v>0</v>
      </c>
      <c r="AY24" s="265" t="s">
        <v>260</v>
      </c>
      <c r="AZ24" s="265" t="s">
        <v>261</v>
      </c>
      <c r="BA24" s="265" t="s">
        <v>262</v>
      </c>
      <c r="BB24" s="265" t="s">
        <v>10</v>
      </c>
      <c r="BE24" s="715" t="s">
        <v>0</v>
      </c>
      <c r="BF24" s="265" t="s">
        <v>260</v>
      </c>
      <c r="BG24" s="265" t="s">
        <v>261</v>
      </c>
      <c r="BH24" s="265" t="s">
        <v>262</v>
      </c>
      <c r="BI24" s="265" t="s">
        <v>10</v>
      </c>
      <c r="BL24" s="715" t="s">
        <v>0</v>
      </c>
      <c r="BM24" s="265" t="s">
        <v>260</v>
      </c>
      <c r="BN24" s="265" t="s">
        <v>261</v>
      </c>
      <c r="BO24" s="265" t="s">
        <v>262</v>
      </c>
      <c r="BP24" s="265" t="s">
        <v>10</v>
      </c>
      <c r="BS24" s="715" t="s">
        <v>0</v>
      </c>
      <c r="BT24" s="265" t="s">
        <v>260</v>
      </c>
      <c r="BU24" s="265" t="s">
        <v>261</v>
      </c>
      <c r="BV24" s="265" t="s">
        <v>262</v>
      </c>
      <c r="BW24" s="265" t="s">
        <v>10</v>
      </c>
      <c r="BZ24" s="715" t="s">
        <v>0</v>
      </c>
      <c r="CA24" s="265" t="s">
        <v>260</v>
      </c>
      <c r="CB24" s="265" t="s">
        <v>261</v>
      </c>
      <c r="CC24" s="265" t="s">
        <v>262</v>
      </c>
      <c r="CD24" s="265" t="s">
        <v>10</v>
      </c>
      <c r="CG24" s="715" t="s">
        <v>0</v>
      </c>
      <c r="CH24" s="265" t="s">
        <v>260</v>
      </c>
      <c r="CI24" s="265" t="s">
        <v>261</v>
      </c>
      <c r="CJ24" s="265" t="s">
        <v>262</v>
      </c>
      <c r="CK24" s="265" t="s">
        <v>10</v>
      </c>
      <c r="CN24" s="715" t="s">
        <v>0</v>
      </c>
      <c r="CO24" s="265" t="s">
        <v>260</v>
      </c>
      <c r="CP24" s="265" t="s">
        <v>261</v>
      </c>
      <c r="CQ24" s="265" t="s">
        <v>262</v>
      </c>
      <c r="CR24" s="265" t="s">
        <v>10</v>
      </c>
      <c r="CU24" s="715" t="s">
        <v>0</v>
      </c>
      <c r="CV24" s="265" t="s">
        <v>260</v>
      </c>
      <c r="CW24" s="265" t="s">
        <v>261</v>
      </c>
      <c r="CX24" s="265" t="s">
        <v>262</v>
      </c>
      <c r="CY24" s="265" t="s">
        <v>10</v>
      </c>
      <c r="DB24" s="715" t="s">
        <v>0</v>
      </c>
      <c r="DC24" s="265" t="s">
        <v>260</v>
      </c>
      <c r="DD24" s="265" t="s">
        <v>261</v>
      </c>
      <c r="DE24" s="265" t="s">
        <v>262</v>
      </c>
      <c r="DF24" s="265" t="s">
        <v>10</v>
      </c>
      <c r="DI24" s="715" t="s">
        <v>0</v>
      </c>
      <c r="DJ24" s="265" t="s">
        <v>260</v>
      </c>
      <c r="DK24" s="265" t="s">
        <v>261</v>
      </c>
      <c r="DL24" s="265" t="s">
        <v>262</v>
      </c>
      <c r="DM24" s="265" t="s">
        <v>10</v>
      </c>
    </row>
    <row r="25" spans="1:118" ht="15.95" customHeight="1">
      <c r="A25" s="716"/>
      <c r="B25" s="710" t="s">
        <v>252</v>
      </c>
      <c r="C25" s="711"/>
      <c r="D25" s="711"/>
      <c r="E25" s="712"/>
      <c r="H25" s="716"/>
      <c r="I25" s="710" t="s">
        <v>252</v>
      </c>
      <c r="J25" s="711"/>
      <c r="K25" s="711"/>
      <c r="L25" s="712"/>
      <c r="O25" s="716"/>
      <c r="P25" s="710" t="s">
        <v>252</v>
      </c>
      <c r="Q25" s="711"/>
      <c r="R25" s="711"/>
      <c r="S25" s="712"/>
      <c r="V25" s="716"/>
      <c r="W25" s="710" t="s">
        <v>252</v>
      </c>
      <c r="X25" s="711"/>
      <c r="Y25" s="711"/>
      <c r="Z25" s="712"/>
      <c r="AC25" s="716"/>
      <c r="AD25" s="710" t="s">
        <v>252</v>
      </c>
      <c r="AE25" s="711"/>
      <c r="AF25" s="711"/>
      <c r="AG25" s="712"/>
      <c r="AJ25" s="716"/>
      <c r="AK25" s="710" t="s">
        <v>252</v>
      </c>
      <c r="AL25" s="711"/>
      <c r="AM25" s="711"/>
      <c r="AN25" s="712"/>
      <c r="AQ25" s="716"/>
      <c r="AR25" s="710" t="s">
        <v>252</v>
      </c>
      <c r="AS25" s="711"/>
      <c r="AT25" s="711"/>
      <c r="AU25" s="712"/>
      <c r="AX25" s="716"/>
      <c r="AY25" s="710" t="s">
        <v>252</v>
      </c>
      <c r="AZ25" s="711"/>
      <c r="BA25" s="711"/>
      <c r="BB25" s="712"/>
      <c r="BE25" s="716"/>
      <c r="BF25" s="710" t="s">
        <v>252</v>
      </c>
      <c r="BG25" s="711"/>
      <c r="BH25" s="711"/>
      <c r="BI25" s="712"/>
      <c r="BL25" s="716"/>
      <c r="BM25" s="710" t="s">
        <v>252</v>
      </c>
      <c r="BN25" s="711"/>
      <c r="BO25" s="711"/>
      <c r="BP25" s="712"/>
      <c r="BS25" s="716"/>
      <c r="BT25" s="710" t="s">
        <v>252</v>
      </c>
      <c r="BU25" s="711"/>
      <c r="BV25" s="711"/>
      <c r="BW25" s="712"/>
      <c r="BZ25" s="716"/>
      <c r="CA25" s="710" t="s">
        <v>252</v>
      </c>
      <c r="CB25" s="711"/>
      <c r="CC25" s="711"/>
      <c r="CD25" s="712"/>
      <c r="CG25" s="716"/>
      <c r="CH25" s="710" t="s">
        <v>252</v>
      </c>
      <c r="CI25" s="711"/>
      <c r="CJ25" s="711"/>
      <c r="CK25" s="712"/>
      <c r="CN25" s="716"/>
      <c r="CO25" s="710" t="s">
        <v>252</v>
      </c>
      <c r="CP25" s="711"/>
      <c r="CQ25" s="711"/>
      <c r="CR25" s="712"/>
      <c r="CU25" s="716"/>
      <c r="CV25" s="710" t="s">
        <v>252</v>
      </c>
      <c r="CW25" s="711"/>
      <c r="CX25" s="711"/>
      <c r="CY25" s="712"/>
      <c r="DB25" s="716"/>
      <c r="DC25" s="710" t="s">
        <v>252</v>
      </c>
      <c r="DD25" s="711"/>
      <c r="DE25" s="711"/>
      <c r="DF25" s="712"/>
      <c r="DI25" s="716"/>
      <c r="DJ25" s="710" t="s">
        <v>252</v>
      </c>
      <c r="DK25" s="711"/>
      <c r="DL25" s="711"/>
      <c r="DM25" s="712"/>
    </row>
    <row r="26" spans="1:118">
      <c r="A26" s="266" t="s">
        <v>221</v>
      </c>
      <c r="B26" s="256" t="s">
        <v>149</v>
      </c>
      <c r="C26" s="602" t="s">
        <v>149</v>
      </c>
      <c r="D26" s="633" t="s">
        <v>149</v>
      </c>
      <c r="E26" s="361" t="s">
        <v>149</v>
      </c>
      <c r="H26" s="266" t="s">
        <v>243</v>
      </c>
      <c r="I26" s="256" t="s">
        <v>149</v>
      </c>
      <c r="J26" s="602" t="s">
        <v>149</v>
      </c>
      <c r="K26" s="633" t="s">
        <v>149</v>
      </c>
      <c r="L26" s="361" t="s">
        <v>149</v>
      </c>
      <c r="O26" s="266" t="s">
        <v>243</v>
      </c>
      <c r="P26" s="256" t="s">
        <v>149</v>
      </c>
      <c r="Q26" s="602" t="s">
        <v>149</v>
      </c>
      <c r="R26" s="633" t="s">
        <v>149</v>
      </c>
      <c r="S26" s="361" t="s">
        <v>149</v>
      </c>
      <c r="V26" s="266" t="s">
        <v>243</v>
      </c>
      <c r="W26" s="256">
        <v>1.26</v>
      </c>
      <c r="X26" s="602" t="s">
        <v>517</v>
      </c>
      <c r="Y26" s="633" t="s">
        <v>517</v>
      </c>
      <c r="Z26" s="361">
        <f>W26</f>
        <v>1.26</v>
      </c>
      <c r="AC26" s="266" t="s">
        <v>243</v>
      </c>
      <c r="AD26" s="256">
        <v>1.26</v>
      </c>
      <c r="AE26" s="602" t="s">
        <v>517</v>
      </c>
      <c r="AF26" s="633" t="s">
        <v>517</v>
      </c>
      <c r="AG26" s="361">
        <f>AD26</f>
        <v>1.26</v>
      </c>
      <c r="AJ26" s="266" t="s">
        <v>243</v>
      </c>
      <c r="AK26" s="256">
        <v>1.1499999999999999</v>
      </c>
      <c r="AL26" s="602" t="s">
        <v>517</v>
      </c>
      <c r="AM26" s="633" t="s">
        <v>517</v>
      </c>
      <c r="AN26" s="361">
        <f>AK26</f>
        <v>1.1499999999999999</v>
      </c>
      <c r="AQ26" s="266" t="s">
        <v>243</v>
      </c>
      <c r="AR26" s="256">
        <v>1.1499999999999999</v>
      </c>
      <c r="AS26" s="602" t="s">
        <v>517</v>
      </c>
      <c r="AT26" s="633" t="s">
        <v>517</v>
      </c>
      <c r="AU26" s="361">
        <f>AR26</f>
        <v>1.1499999999999999</v>
      </c>
      <c r="AX26" s="266" t="s">
        <v>243</v>
      </c>
      <c r="AY26" s="256">
        <v>1.41</v>
      </c>
      <c r="AZ26" s="602" t="s">
        <v>517</v>
      </c>
      <c r="BA26" s="633" t="s">
        <v>517</v>
      </c>
      <c r="BB26" s="361">
        <f>AY26</f>
        <v>1.41</v>
      </c>
      <c r="BE26" s="266" t="s">
        <v>243</v>
      </c>
      <c r="BF26" s="256">
        <v>1.41</v>
      </c>
      <c r="BG26" s="602" t="s">
        <v>517</v>
      </c>
      <c r="BH26" s="633" t="s">
        <v>517</v>
      </c>
      <c r="BI26" s="361">
        <f>BF26</f>
        <v>1.41</v>
      </c>
      <c r="BL26" s="266" t="s">
        <v>221</v>
      </c>
      <c r="BM26" s="256">
        <v>1.53</v>
      </c>
      <c r="BN26" s="602" t="s">
        <v>517</v>
      </c>
      <c r="BO26" s="633" t="s">
        <v>517</v>
      </c>
      <c r="BP26" s="361">
        <f>BM26</f>
        <v>1.53</v>
      </c>
      <c r="BS26" s="266" t="s">
        <v>221</v>
      </c>
      <c r="BT26" s="256">
        <v>1.53</v>
      </c>
      <c r="BU26" s="602" t="s">
        <v>517</v>
      </c>
      <c r="BV26" s="633" t="s">
        <v>517</v>
      </c>
      <c r="BW26" s="361">
        <f>BT26</f>
        <v>1.53</v>
      </c>
      <c r="BZ26" s="266" t="s">
        <v>221</v>
      </c>
      <c r="CA26" s="256">
        <v>1.53</v>
      </c>
      <c r="CB26" s="602" t="s">
        <v>517</v>
      </c>
      <c r="CC26" s="633" t="s">
        <v>517</v>
      </c>
      <c r="CD26" s="361">
        <f>CA26</f>
        <v>1.53</v>
      </c>
      <c r="CG26" s="266" t="s">
        <v>221</v>
      </c>
      <c r="CH26" s="256" t="s">
        <v>517</v>
      </c>
      <c r="CI26" s="602">
        <v>1.85</v>
      </c>
      <c r="CJ26" s="633" t="s">
        <v>517</v>
      </c>
      <c r="CK26" s="361">
        <f>CI26</f>
        <v>1.85</v>
      </c>
      <c r="CN26" s="266" t="s">
        <v>221</v>
      </c>
      <c r="CO26" s="256" t="s">
        <v>517</v>
      </c>
      <c r="CP26" s="602">
        <v>1.54</v>
      </c>
      <c r="CQ26" s="633" t="s">
        <v>517</v>
      </c>
      <c r="CR26" s="361">
        <f>CP26</f>
        <v>1.54</v>
      </c>
      <c r="CU26" s="266" t="s">
        <v>221</v>
      </c>
      <c r="CV26" s="256" t="s">
        <v>517</v>
      </c>
      <c r="CW26" s="602">
        <v>1.47</v>
      </c>
      <c r="CX26" s="633" t="s">
        <v>517</v>
      </c>
      <c r="CY26" s="361">
        <f>CW26</f>
        <v>1.47</v>
      </c>
      <c r="DB26" s="266" t="s">
        <v>221</v>
      </c>
      <c r="DC26" s="256" t="s">
        <v>517</v>
      </c>
      <c r="DD26" s="602">
        <v>1.5</v>
      </c>
      <c r="DE26" s="633"/>
      <c r="DF26" s="361"/>
      <c r="DI26" s="266" t="s">
        <v>221</v>
      </c>
      <c r="DJ26" s="256"/>
      <c r="DK26" s="602">
        <v>1.49</v>
      </c>
      <c r="DL26" s="633"/>
      <c r="DM26" s="361"/>
    </row>
    <row r="27" spans="1:118">
      <c r="A27" s="266" t="s">
        <v>222</v>
      </c>
      <c r="B27" s="623">
        <v>0.35249999999999998</v>
      </c>
      <c r="C27" s="601">
        <v>1.0575000000000001</v>
      </c>
      <c r="D27" s="361" t="s">
        <v>517</v>
      </c>
      <c r="E27" s="361">
        <v>1.41</v>
      </c>
      <c r="H27" s="266" t="s">
        <v>222</v>
      </c>
      <c r="I27" s="623">
        <v>0.375</v>
      </c>
      <c r="J27" s="601">
        <v>1.1125</v>
      </c>
      <c r="K27" s="361" t="s">
        <v>517</v>
      </c>
      <c r="L27" s="361">
        <v>1.5</v>
      </c>
      <c r="O27" s="266" t="s">
        <v>222</v>
      </c>
      <c r="P27" s="623">
        <v>0.40500000000000003</v>
      </c>
      <c r="Q27" s="601">
        <v>1.2150000000000001</v>
      </c>
      <c r="R27" s="361" t="s">
        <v>517</v>
      </c>
      <c r="S27" s="361">
        <v>1.62</v>
      </c>
      <c r="V27" s="266" t="s">
        <v>222</v>
      </c>
      <c r="W27" s="623">
        <v>0.4325</v>
      </c>
      <c r="X27" s="601">
        <v>1.2975000000000001</v>
      </c>
      <c r="Y27" s="361" t="s">
        <v>517</v>
      </c>
      <c r="Z27" s="361">
        <v>1.73</v>
      </c>
      <c r="AC27" s="266" t="s">
        <v>222</v>
      </c>
      <c r="AD27" s="623">
        <v>0.41749999999999998</v>
      </c>
      <c r="AE27" s="601">
        <v>1.2524999999999999</v>
      </c>
      <c r="AF27" s="361" t="s">
        <v>517</v>
      </c>
      <c r="AG27" s="361">
        <v>1.67</v>
      </c>
      <c r="AJ27" s="266" t="s">
        <v>222</v>
      </c>
      <c r="AK27" s="623">
        <v>0.45750000000000002</v>
      </c>
      <c r="AL27" s="601">
        <v>1.3725000000000001</v>
      </c>
      <c r="AM27" s="361" t="s">
        <v>517</v>
      </c>
      <c r="AN27" s="361">
        <v>1.83</v>
      </c>
      <c r="AQ27" s="266" t="s">
        <v>222</v>
      </c>
      <c r="AR27" s="623" t="s">
        <v>149</v>
      </c>
      <c r="AS27" s="601" t="s">
        <v>149</v>
      </c>
      <c r="AT27" s="361" t="s">
        <v>149</v>
      </c>
      <c r="AU27" s="361" t="s">
        <v>149</v>
      </c>
      <c r="AX27" s="266" t="s">
        <v>222</v>
      </c>
      <c r="AY27" s="623">
        <v>0.42499999999999999</v>
      </c>
      <c r="AZ27" s="601">
        <v>1.2749999999999999</v>
      </c>
      <c r="BA27" s="361">
        <v>0</v>
      </c>
      <c r="BB27" s="361">
        <v>1.7</v>
      </c>
      <c r="BE27" s="266" t="s">
        <v>222</v>
      </c>
      <c r="BF27" s="623">
        <v>0.42749999999999999</v>
      </c>
      <c r="BG27" s="601">
        <v>1.2825</v>
      </c>
      <c r="BH27" s="361" t="s">
        <v>517</v>
      </c>
      <c r="BI27" s="361">
        <v>1.71</v>
      </c>
      <c r="BL27" s="266" t="s">
        <v>222</v>
      </c>
      <c r="BM27" s="623" t="s">
        <v>149</v>
      </c>
      <c r="BN27" s="601" t="s">
        <v>149</v>
      </c>
      <c r="BO27" s="361" t="s">
        <v>149</v>
      </c>
      <c r="BP27" s="361" t="s">
        <v>149</v>
      </c>
      <c r="BS27" s="266" t="s">
        <v>222</v>
      </c>
      <c r="BT27" s="623" t="s">
        <v>149</v>
      </c>
      <c r="BU27" s="601" t="s">
        <v>149</v>
      </c>
      <c r="BV27" s="361" t="s">
        <v>149</v>
      </c>
      <c r="BW27" s="361" t="s">
        <v>149</v>
      </c>
      <c r="BZ27" s="266" t="s">
        <v>222</v>
      </c>
      <c r="CA27" s="623" t="s">
        <v>149</v>
      </c>
      <c r="CB27" s="601" t="s">
        <v>149</v>
      </c>
      <c r="CC27" s="361" t="s">
        <v>149</v>
      </c>
      <c r="CD27" s="361" t="s">
        <v>149</v>
      </c>
      <c r="CG27" s="266" t="s">
        <v>222</v>
      </c>
      <c r="CH27" s="623">
        <v>0.45</v>
      </c>
      <c r="CI27" s="601">
        <v>1.35</v>
      </c>
      <c r="CJ27" s="361" t="s">
        <v>517</v>
      </c>
      <c r="CK27" s="361">
        <f>SUM(CH27:CI27)</f>
        <v>1.8</v>
      </c>
      <c r="CN27" s="266" t="s">
        <v>222</v>
      </c>
      <c r="CO27" s="623">
        <v>0.49687500000000001</v>
      </c>
      <c r="CP27" s="601">
        <v>1.4906250000000001</v>
      </c>
      <c r="CQ27" s="361" t="s">
        <v>517</v>
      </c>
      <c r="CR27" s="361">
        <f>SUM(CO27:CP27)</f>
        <v>1.9875</v>
      </c>
      <c r="CU27" s="266" t="s">
        <v>222</v>
      </c>
      <c r="CV27" s="623">
        <v>0.50124999999999997</v>
      </c>
      <c r="CW27" s="601">
        <v>1.5037499999999999</v>
      </c>
      <c r="CX27" s="361" t="s">
        <v>517</v>
      </c>
      <c r="CY27" s="361">
        <f>SUM(CV27:CW27)</f>
        <v>2.0049999999999999</v>
      </c>
      <c r="DB27" s="266" t="s">
        <v>222</v>
      </c>
      <c r="DC27" s="623">
        <v>0.49875000000000003</v>
      </c>
      <c r="DD27" s="601">
        <v>1.4962500000000001</v>
      </c>
      <c r="DE27" s="361"/>
      <c r="DF27" s="361"/>
      <c r="DI27" s="266" t="s">
        <v>222</v>
      </c>
      <c r="DJ27" s="623">
        <v>0.49937500000000001</v>
      </c>
      <c r="DK27" s="601">
        <v>1.4981249999999999</v>
      </c>
      <c r="DL27" s="361"/>
      <c r="DM27" s="361"/>
    </row>
    <row r="28" spans="1:118">
      <c r="A28" s="266" t="s">
        <v>223</v>
      </c>
      <c r="B28" s="361" t="s">
        <v>149</v>
      </c>
      <c r="C28" s="361" t="s">
        <v>149</v>
      </c>
      <c r="D28" s="361" t="s">
        <v>149</v>
      </c>
      <c r="E28" s="361" t="s">
        <v>149</v>
      </c>
      <c r="H28" s="266" t="s">
        <v>223</v>
      </c>
      <c r="I28" s="361" t="s">
        <v>149</v>
      </c>
      <c r="J28" s="361" t="s">
        <v>149</v>
      </c>
      <c r="K28" s="361" t="s">
        <v>149</v>
      </c>
      <c r="L28" s="361" t="s">
        <v>149</v>
      </c>
      <c r="O28" s="266" t="s">
        <v>223</v>
      </c>
      <c r="P28" s="361" t="s">
        <v>149</v>
      </c>
      <c r="Q28" s="361" t="s">
        <v>149</v>
      </c>
      <c r="R28" s="361" t="s">
        <v>149</v>
      </c>
      <c r="S28" s="361" t="s">
        <v>149</v>
      </c>
      <c r="V28" s="266" t="s">
        <v>223</v>
      </c>
      <c r="W28" s="361" t="s">
        <v>149</v>
      </c>
      <c r="X28" s="361" t="s">
        <v>149</v>
      </c>
      <c r="Y28" s="361" t="s">
        <v>149</v>
      </c>
      <c r="Z28" s="361" t="s">
        <v>149</v>
      </c>
      <c r="AC28" s="266" t="s">
        <v>223</v>
      </c>
      <c r="AD28" s="361" t="s">
        <v>149</v>
      </c>
      <c r="AE28" s="361" t="s">
        <v>149</v>
      </c>
      <c r="AF28" s="361" t="s">
        <v>149</v>
      </c>
      <c r="AG28" s="361" t="s">
        <v>149</v>
      </c>
      <c r="AJ28" s="266" t="s">
        <v>223</v>
      </c>
      <c r="AK28" s="361" t="s">
        <v>149</v>
      </c>
      <c r="AL28" s="361" t="s">
        <v>149</v>
      </c>
      <c r="AM28" s="361" t="s">
        <v>149</v>
      </c>
      <c r="AN28" s="361" t="s">
        <v>149</v>
      </c>
      <c r="AQ28" s="266" t="s">
        <v>223</v>
      </c>
      <c r="AR28" s="361" t="s">
        <v>149</v>
      </c>
      <c r="AS28" s="361" t="s">
        <v>149</v>
      </c>
      <c r="AT28" s="361" t="s">
        <v>149</v>
      </c>
      <c r="AU28" s="361" t="s">
        <v>149</v>
      </c>
      <c r="AX28" s="266" t="s">
        <v>223</v>
      </c>
      <c r="AY28" s="361" t="s">
        <v>149</v>
      </c>
      <c r="AZ28" s="361" t="s">
        <v>149</v>
      </c>
      <c r="BA28" s="361" t="s">
        <v>149</v>
      </c>
      <c r="BB28" s="361" t="s">
        <v>149</v>
      </c>
      <c r="BE28" s="266" t="s">
        <v>223</v>
      </c>
      <c r="BF28" s="361" t="s">
        <v>149</v>
      </c>
      <c r="BG28" s="361" t="s">
        <v>149</v>
      </c>
      <c r="BH28" s="361" t="s">
        <v>149</v>
      </c>
      <c r="BI28" s="361" t="s">
        <v>149</v>
      </c>
      <c r="BL28" s="266" t="s">
        <v>223</v>
      </c>
      <c r="BM28" s="361" t="s">
        <v>149</v>
      </c>
      <c r="BN28" s="361" t="s">
        <v>149</v>
      </c>
      <c r="BO28" s="361" t="s">
        <v>149</v>
      </c>
      <c r="BP28" s="361" t="s">
        <v>149</v>
      </c>
      <c r="BS28" s="266" t="s">
        <v>223</v>
      </c>
      <c r="BT28" s="361" t="s">
        <v>149</v>
      </c>
      <c r="BU28" s="361" t="s">
        <v>149</v>
      </c>
      <c r="BV28" s="361" t="s">
        <v>149</v>
      </c>
      <c r="BW28" s="361" t="s">
        <v>149</v>
      </c>
      <c r="BZ28" s="266" t="s">
        <v>223</v>
      </c>
      <c r="CA28" s="361" t="s">
        <v>149</v>
      </c>
      <c r="CB28" s="361" t="s">
        <v>149</v>
      </c>
      <c r="CC28" s="361" t="s">
        <v>149</v>
      </c>
      <c r="CD28" s="361" t="s">
        <v>149</v>
      </c>
      <c r="CG28" s="266" t="s">
        <v>223</v>
      </c>
      <c r="CH28" s="361" t="s">
        <v>149</v>
      </c>
      <c r="CI28" s="361" t="s">
        <v>149</v>
      </c>
      <c r="CJ28" s="361" t="s">
        <v>149</v>
      </c>
      <c r="CK28" s="361" t="s">
        <v>149</v>
      </c>
      <c r="CN28" s="266" t="s">
        <v>223</v>
      </c>
      <c r="CO28" s="361" t="s">
        <v>149</v>
      </c>
      <c r="CP28" s="361" t="s">
        <v>149</v>
      </c>
      <c r="CQ28" s="361" t="s">
        <v>149</v>
      </c>
      <c r="CR28" s="361" t="s">
        <v>149</v>
      </c>
      <c r="CU28" s="266" t="s">
        <v>223</v>
      </c>
      <c r="CV28" s="361" t="s">
        <v>149</v>
      </c>
      <c r="CW28" s="361" t="s">
        <v>149</v>
      </c>
      <c r="CX28" s="361" t="s">
        <v>149</v>
      </c>
      <c r="CY28" s="361" t="s">
        <v>149</v>
      </c>
      <c r="DB28" s="266" t="s">
        <v>223</v>
      </c>
      <c r="DC28" s="361" t="s">
        <v>149</v>
      </c>
      <c r="DD28" s="361" t="s">
        <v>149</v>
      </c>
      <c r="DE28" s="361" t="s">
        <v>149</v>
      </c>
      <c r="DF28" s="361" t="s">
        <v>149</v>
      </c>
      <c r="DI28" s="266" t="s">
        <v>223</v>
      </c>
      <c r="DJ28" s="361" t="s">
        <v>149</v>
      </c>
      <c r="DK28" s="361" t="s">
        <v>149</v>
      </c>
      <c r="DL28" s="361" t="s">
        <v>149</v>
      </c>
      <c r="DM28" s="361" t="s">
        <v>149</v>
      </c>
    </row>
    <row r="29" spans="1:118">
      <c r="A29" s="266" t="s">
        <v>6</v>
      </c>
      <c r="B29" s="361" t="s">
        <v>517</v>
      </c>
      <c r="C29" s="361">
        <v>1.1995</v>
      </c>
      <c r="D29" s="361" t="s">
        <v>517</v>
      </c>
      <c r="E29" s="361">
        <v>1.1995</v>
      </c>
      <c r="H29" s="266" t="s">
        <v>6</v>
      </c>
      <c r="I29" s="361" t="s">
        <v>517</v>
      </c>
      <c r="J29" s="361">
        <v>1.1995</v>
      </c>
      <c r="K29" s="361" t="s">
        <v>517</v>
      </c>
      <c r="L29" s="361">
        <v>1.1995</v>
      </c>
      <c r="O29" s="266" t="s">
        <v>6</v>
      </c>
      <c r="P29" s="361" t="s">
        <v>517</v>
      </c>
      <c r="Q29" s="361">
        <v>1.1745000000000001</v>
      </c>
      <c r="R29" s="361" t="s">
        <v>517</v>
      </c>
      <c r="S29" s="361">
        <v>1.1745000000000001</v>
      </c>
      <c r="V29" s="266" t="s">
        <v>6</v>
      </c>
      <c r="W29" s="361" t="s">
        <v>517</v>
      </c>
      <c r="X29" s="361">
        <v>1.1870000000000001</v>
      </c>
      <c r="Y29" s="361" t="s">
        <v>517</v>
      </c>
      <c r="Z29" s="361">
        <v>1.1870000000000001</v>
      </c>
      <c r="AC29" s="266" t="s">
        <v>6</v>
      </c>
      <c r="AD29" s="361" t="s">
        <v>517</v>
      </c>
      <c r="AE29" s="361">
        <v>1.1012999999999999</v>
      </c>
      <c r="AF29" s="361" t="s">
        <v>517</v>
      </c>
      <c r="AG29" s="361">
        <v>1.1012999999999999</v>
      </c>
      <c r="AJ29" s="266" t="s">
        <v>6</v>
      </c>
      <c r="AK29" s="361" t="s">
        <v>517</v>
      </c>
      <c r="AL29" s="361">
        <v>1.0679000000000001</v>
      </c>
      <c r="AM29" s="361" t="s">
        <v>517</v>
      </c>
      <c r="AN29" s="361">
        <v>1.0679000000000001</v>
      </c>
      <c r="AQ29" s="266" t="s">
        <v>6</v>
      </c>
      <c r="AR29" s="361" t="s">
        <v>517</v>
      </c>
      <c r="AS29" s="361">
        <v>1.01875</v>
      </c>
      <c r="AT29" s="361" t="s">
        <v>517</v>
      </c>
      <c r="AU29" s="361">
        <v>1.01875</v>
      </c>
      <c r="AX29" s="266" t="s">
        <v>6</v>
      </c>
      <c r="AY29" s="361" t="s">
        <v>517</v>
      </c>
      <c r="AZ29" s="361">
        <v>0.94369999999999998</v>
      </c>
      <c r="BA29" s="361" t="s">
        <v>517</v>
      </c>
      <c r="BB29" s="361">
        <v>0.94369999999999998</v>
      </c>
      <c r="BE29" s="266" t="s">
        <v>6</v>
      </c>
      <c r="BF29" s="361">
        <v>0</v>
      </c>
      <c r="BG29" s="361">
        <v>0.72629999999999995</v>
      </c>
      <c r="BH29" s="361">
        <v>0</v>
      </c>
      <c r="BI29" s="361">
        <f>SUM(BF29:BH29)</f>
        <v>0.72629999999999995</v>
      </c>
      <c r="BL29" s="266" t="s">
        <v>6</v>
      </c>
      <c r="BM29" s="361" t="s">
        <v>517</v>
      </c>
      <c r="BN29" s="361">
        <v>0.82874999999999999</v>
      </c>
      <c r="BO29" s="361" t="s">
        <v>517</v>
      </c>
      <c r="BP29" s="361">
        <v>0.82874999999999999</v>
      </c>
      <c r="BS29" s="266" t="s">
        <v>6</v>
      </c>
      <c r="BT29" s="361" t="s">
        <v>517</v>
      </c>
      <c r="BU29" s="361">
        <v>0.90934999999999999</v>
      </c>
      <c r="BV29" s="361" t="s">
        <v>517</v>
      </c>
      <c r="BW29" s="361">
        <v>0.90934999999999999</v>
      </c>
      <c r="BZ29" s="266" t="s">
        <v>6</v>
      </c>
      <c r="CA29" s="361" t="s">
        <v>517</v>
      </c>
      <c r="CB29" s="361">
        <v>0.94120000000000004</v>
      </c>
      <c r="CC29" s="361" t="s">
        <v>517</v>
      </c>
      <c r="CD29" s="361">
        <f>CB29</f>
        <v>0.94120000000000004</v>
      </c>
      <c r="CG29" s="266" t="s">
        <v>6</v>
      </c>
      <c r="CH29" s="361" t="s">
        <v>517</v>
      </c>
      <c r="CI29" s="361">
        <v>1.0123</v>
      </c>
      <c r="CJ29" s="361" t="s">
        <v>517</v>
      </c>
      <c r="CK29" s="361">
        <f>+CI29</f>
        <v>1.0123</v>
      </c>
      <c r="CN29" s="266" t="s">
        <v>6</v>
      </c>
      <c r="CO29" s="361" t="s">
        <v>149</v>
      </c>
      <c r="CP29" s="361" t="s">
        <v>149</v>
      </c>
      <c r="CQ29" s="361" t="s">
        <v>149</v>
      </c>
      <c r="CR29" s="361" t="s">
        <v>149</v>
      </c>
      <c r="CU29" s="266" t="s">
        <v>6</v>
      </c>
      <c r="CV29" s="361" t="s">
        <v>149</v>
      </c>
      <c r="CW29" s="361" t="s">
        <v>149</v>
      </c>
      <c r="CX29" s="361" t="s">
        <v>149</v>
      </c>
      <c r="CY29" s="361" t="s">
        <v>149</v>
      </c>
      <c r="DB29" s="266" t="s">
        <v>6</v>
      </c>
      <c r="DC29" s="361" t="s">
        <v>149</v>
      </c>
      <c r="DD29" s="361" t="s">
        <v>149</v>
      </c>
      <c r="DE29" s="361" t="s">
        <v>149</v>
      </c>
      <c r="DF29" s="361" t="s">
        <v>149</v>
      </c>
      <c r="DI29" s="266" t="s">
        <v>6</v>
      </c>
      <c r="DJ29" s="361" t="s">
        <v>149</v>
      </c>
      <c r="DK29" s="361" t="s">
        <v>149</v>
      </c>
      <c r="DL29" s="361" t="s">
        <v>149</v>
      </c>
      <c r="DM29" s="361" t="s">
        <v>149</v>
      </c>
    </row>
    <row r="30" spans="1:118">
      <c r="A30" s="266" t="s">
        <v>8</v>
      </c>
      <c r="B30" s="361" t="s">
        <v>149</v>
      </c>
      <c r="C30" s="361" t="s">
        <v>149</v>
      </c>
      <c r="D30" s="361" t="s">
        <v>149</v>
      </c>
      <c r="E30" s="361" t="s">
        <v>149</v>
      </c>
      <c r="H30" s="266" t="s">
        <v>8</v>
      </c>
      <c r="I30" s="361" t="s">
        <v>149</v>
      </c>
      <c r="J30" s="361" t="s">
        <v>149</v>
      </c>
      <c r="K30" s="361" t="s">
        <v>149</v>
      </c>
      <c r="L30" s="361" t="s">
        <v>149</v>
      </c>
      <c r="O30" s="266" t="s">
        <v>8</v>
      </c>
      <c r="P30" s="361" t="s">
        <v>149</v>
      </c>
      <c r="Q30" s="361" t="s">
        <v>149</v>
      </c>
      <c r="R30" s="361" t="s">
        <v>149</v>
      </c>
      <c r="S30" s="361" t="s">
        <v>149</v>
      </c>
      <c r="V30" s="266" t="s">
        <v>8</v>
      </c>
      <c r="W30" s="361" t="s">
        <v>149</v>
      </c>
      <c r="X30" s="361" t="s">
        <v>149</v>
      </c>
      <c r="Y30" s="361" t="s">
        <v>149</v>
      </c>
      <c r="Z30" s="361" t="s">
        <v>149</v>
      </c>
      <c r="AC30" s="266" t="s">
        <v>8</v>
      </c>
      <c r="AD30" s="361" t="s">
        <v>149</v>
      </c>
      <c r="AE30" s="361" t="s">
        <v>149</v>
      </c>
      <c r="AF30" s="361" t="s">
        <v>149</v>
      </c>
      <c r="AG30" s="361" t="s">
        <v>149</v>
      </c>
      <c r="AJ30" s="266" t="s">
        <v>8</v>
      </c>
      <c r="AK30" s="361" t="s">
        <v>149</v>
      </c>
      <c r="AL30" s="361" t="s">
        <v>149</v>
      </c>
      <c r="AM30" s="361" t="s">
        <v>149</v>
      </c>
      <c r="AN30" s="361" t="s">
        <v>149</v>
      </c>
      <c r="AQ30" s="266" t="s">
        <v>8</v>
      </c>
      <c r="AR30" s="361" t="s">
        <v>149</v>
      </c>
      <c r="AS30" s="361" t="s">
        <v>149</v>
      </c>
      <c r="AT30" s="361" t="s">
        <v>149</v>
      </c>
      <c r="AU30" s="361" t="s">
        <v>149</v>
      </c>
      <c r="AX30" s="266" t="s">
        <v>8</v>
      </c>
      <c r="AY30" s="361" t="s">
        <v>149</v>
      </c>
      <c r="AZ30" s="361" t="s">
        <v>149</v>
      </c>
      <c r="BA30" s="361" t="s">
        <v>149</v>
      </c>
      <c r="BB30" s="361" t="s">
        <v>149</v>
      </c>
      <c r="BE30" s="266" t="s">
        <v>8</v>
      </c>
      <c r="BF30" s="361">
        <v>1.3599999999999999</v>
      </c>
      <c r="BG30" s="361" t="s">
        <v>517</v>
      </c>
      <c r="BH30" s="361" t="s">
        <v>517</v>
      </c>
      <c r="BI30" s="361">
        <v>1.3599999999999999</v>
      </c>
      <c r="BL30" s="266" t="s">
        <v>8</v>
      </c>
      <c r="BM30" s="361" t="s">
        <v>149</v>
      </c>
      <c r="BN30" s="361" t="s">
        <v>149</v>
      </c>
      <c r="BO30" s="361" t="s">
        <v>149</v>
      </c>
      <c r="BP30" s="361" t="s">
        <v>149</v>
      </c>
      <c r="BS30" s="266" t="s">
        <v>8</v>
      </c>
      <c r="BT30" s="361">
        <v>1.35</v>
      </c>
      <c r="BU30" s="361" t="s">
        <v>517</v>
      </c>
      <c r="BV30" s="361" t="s">
        <v>517</v>
      </c>
      <c r="BW30" s="361">
        <v>1.35</v>
      </c>
      <c r="BZ30" s="266" t="s">
        <v>8</v>
      </c>
      <c r="CA30" s="361">
        <v>1.35</v>
      </c>
      <c r="CB30" s="361" t="s">
        <v>517</v>
      </c>
      <c r="CC30" s="361" t="s">
        <v>517</v>
      </c>
      <c r="CD30" s="361">
        <v>1.35</v>
      </c>
      <c r="CG30" s="266" t="s">
        <v>8</v>
      </c>
      <c r="CH30" s="361">
        <v>1.35</v>
      </c>
      <c r="CI30" s="361" t="s">
        <v>517</v>
      </c>
      <c r="CJ30" s="361" t="s">
        <v>517</v>
      </c>
      <c r="CK30" s="361">
        <v>1.35</v>
      </c>
      <c r="CN30" s="266" t="s">
        <v>8</v>
      </c>
      <c r="CO30" s="361">
        <v>1.74</v>
      </c>
      <c r="CP30" s="361" t="s">
        <v>517</v>
      </c>
      <c r="CQ30" s="361" t="s">
        <v>517</v>
      </c>
      <c r="CR30" s="361">
        <v>1.74</v>
      </c>
      <c r="CU30" s="266" t="s">
        <v>8</v>
      </c>
      <c r="CV30" s="361">
        <v>1.84</v>
      </c>
      <c r="CW30" s="361" t="s">
        <v>517</v>
      </c>
      <c r="CX30" s="361" t="s">
        <v>517</v>
      </c>
      <c r="CY30" s="361">
        <v>1.84</v>
      </c>
      <c r="DB30" s="266" t="s">
        <v>8</v>
      </c>
      <c r="DC30" s="361">
        <v>1.7</v>
      </c>
      <c r="DD30" s="361"/>
      <c r="DE30" s="361"/>
      <c r="DF30" s="361"/>
      <c r="DI30" s="266" t="s">
        <v>8</v>
      </c>
      <c r="DJ30" s="361">
        <v>1.37</v>
      </c>
      <c r="DK30" s="361"/>
      <c r="DL30" s="361"/>
      <c r="DM30" s="361"/>
    </row>
    <row r="31" spans="1:118">
      <c r="A31" s="266" t="s">
        <v>224</v>
      </c>
      <c r="B31" s="361" t="s">
        <v>149</v>
      </c>
      <c r="C31" s="361" t="s">
        <v>149</v>
      </c>
      <c r="D31" s="361" t="s">
        <v>149</v>
      </c>
      <c r="E31" s="361" t="s">
        <v>149</v>
      </c>
      <c r="H31" s="266" t="s">
        <v>224</v>
      </c>
      <c r="I31" s="361" t="s">
        <v>149</v>
      </c>
      <c r="J31" s="361" t="s">
        <v>149</v>
      </c>
      <c r="K31" s="361" t="s">
        <v>149</v>
      </c>
      <c r="L31" s="361" t="s">
        <v>149</v>
      </c>
      <c r="O31" s="266" t="s">
        <v>224</v>
      </c>
      <c r="P31" s="361">
        <v>0.625</v>
      </c>
      <c r="Q31" s="361">
        <v>1.75</v>
      </c>
      <c r="R31" s="361">
        <v>0.125</v>
      </c>
      <c r="S31" s="361">
        <v>2.5</v>
      </c>
      <c r="V31" s="266" t="s">
        <v>224</v>
      </c>
      <c r="W31" s="361">
        <v>0.625</v>
      </c>
      <c r="X31" s="361">
        <v>1.75</v>
      </c>
      <c r="Y31" s="361">
        <v>0.125</v>
      </c>
      <c r="Z31" s="361">
        <v>2.5</v>
      </c>
      <c r="AC31" s="266" t="s">
        <v>224</v>
      </c>
      <c r="AD31" s="361">
        <v>0.625</v>
      </c>
      <c r="AE31" s="361">
        <v>1.75</v>
      </c>
      <c r="AF31" s="361">
        <v>0.125</v>
      </c>
      <c r="AG31" s="361">
        <v>2.5</v>
      </c>
      <c r="AJ31" s="266" t="s">
        <v>224</v>
      </c>
      <c r="AK31" s="361">
        <v>0.625</v>
      </c>
      <c r="AL31" s="361">
        <v>1.75</v>
      </c>
      <c r="AM31" s="361">
        <v>0.125</v>
      </c>
      <c r="AN31" s="361">
        <v>2.5</v>
      </c>
      <c r="AQ31" s="266" t="s">
        <v>224</v>
      </c>
      <c r="AR31" s="361">
        <v>0.625</v>
      </c>
      <c r="AS31" s="361">
        <v>1.75</v>
      </c>
      <c r="AT31" s="361">
        <v>0.125</v>
      </c>
      <c r="AU31" s="361">
        <v>2.5</v>
      </c>
      <c r="AX31" s="266" t="s">
        <v>224</v>
      </c>
      <c r="AY31" s="361">
        <v>0.625</v>
      </c>
      <c r="AZ31" s="361">
        <v>1.75</v>
      </c>
      <c r="BA31" s="361">
        <v>0.125</v>
      </c>
      <c r="BB31" s="361">
        <v>2.5</v>
      </c>
      <c r="BE31" s="266" t="s">
        <v>224</v>
      </c>
      <c r="BF31" s="361">
        <v>0.625</v>
      </c>
      <c r="BG31" s="361">
        <v>1.75</v>
      </c>
      <c r="BH31" s="361">
        <v>0.125</v>
      </c>
      <c r="BI31" s="361">
        <v>2.5</v>
      </c>
      <c r="BL31" s="266" t="s">
        <v>224</v>
      </c>
      <c r="BM31" s="361">
        <v>0.625</v>
      </c>
      <c r="BN31" s="361">
        <v>1.75</v>
      </c>
      <c r="BO31" s="361">
        <v>0.125</v>
      </c>
      <c r="BP31" s="361">
        <v>2.5</v>
      </c>
      <c r="BS31" s="266" t="s">
        <v>224</v>
      </c>
      <c r="BT31" s="361">
        <v>0.625</v>
      </c>
      <c r="BU31" s="361">
        <v>1.75</v>
      </c>
      <c r="BV31" s="361">
        <v>0.125</v>
      </c>
      <c r="BW31" s="361">
        <v>2.5</v>
      </c>
      <c r="BZ31" s="266" t="s">
        <v>224</v>
      </c>
      <c r="CA31" s="361">
        <v>0.625</v>
      </c>
      <c r="CB31" s="361">
        <v>1.75</v>
      </c>
      <c r="CC31" s="361">
        <v>0.125</v>
      </c>
      <c r="CD31" s="361">
        <v>2.5</v>
      </c>
      <c r="CG31" s="266" t="s">
        <v>224</v>
      </c>
      <c r="CH31" s="361">
        <v>0.625</v>
      </c>
      <c r="CI31" s="361">
        <v>1.75</v>
      </c>
      <c r="CJ31" s="361">
        <v>0.125</v>
      </c>
      <c r="CK31" s="361">
        <v>2.5</v>
      </c>
      <c r="CN31" s="266" t="s">
        <v>224</v>
      </c>
      <c r="CO31" s="361">
        <v>1.625</v>
      </c>
      <c r="CP31" s="361">
        <v>2.75</v>
      </c>
      <c r="CQ31" s="361">
        <v>1.125</v>
      </c>
      <c r="CR31" s="361">
        <f>SUM(CO31:CQ31)</f>
        <v>5.5</v>
      </c>
      <c r="CU31" s="266" t="s">
        <v>224</v>
      </c>
      <c r="CV31" s="361">
        <v>1.625</v>
      </c>
      <c r="CW31" s="361">
        <v>2.75</v>
      </c>
      <c r="CX31" s="361">
        <v>1.125</v>
      </c>
      <c r="CY31" s="361">
        <f>SUM(CV31:CX31)</f>
        <v>5.5</v>
      </c>
      <c r="DB31" s="266" t="s">
        <v>224</v>
      </c>
      <c r="DC31" s="361">
        <v>1.625</v>
      </c>
      <c r="DD31" s="361">
        <v>2.75</v>
      </c>
      <c r="DE31" s="361">
        <v>1.125</v>
      </c>
      <c r="DF31" s="361"/>
      <c r="DI31" s="266" t="s">
        <v>224</v>
      </c>
      <c r="DJ31" s="361">
        <v>1.625</v>
      </c>
      <c r="DK31" s="361">
        <v>2.75</v>
      </c>
      <c r="DL31" s="361">
        <v>1.125</v>
      </c>
      <c r="DM31" s="361"/>
    </row>
    <row r="32" spans="1:118">
      <c r="A32" s="266" t="s">
        <v>184</v>
      </c>
      <c r="B32" s="361" t="s">
        <v>149</v>
      </c>
      <c r="C32" s="361" t="s">
        <v>149</v>
      </c>
      <c r="D32" s="361" t="s">
        <v>149</v>
      </c>
      <c r="E32" s="361" t="s">
        <v>149</v>
      </c>
      <c r="H32" s="266" t="s">
        <v>184</v>
      </c>
      <c r="I32" s="361" t="s">
        <v>149</v>
      </c>
      <c r="J32" s="361" t="s">
        <v>149</v>
      </c>
      <c r="K32" s="361" t="s">
        <v>149</v>
      </c>
      <c r="L32" s="361" t="s">
        <v>149</v>
      </c>
      <c r="O32" s="266" t="s">
        <v>184</v>
      </c>
      <c r="P32" s="361" t="s">
        <v>149</v>
      </c>
      <c r="Q32" s="361" t="s">
        <v>149</v>
      </c>
      <c r="R32" s="361" t="s">
        <v>149</v>
      </c>
      <c r="S32" s="361" t="s">
        <v>149</v>
      </c>
      <c r="V32" s="266" t="s">
        <v>184</v>
      </c>
      <c r="W32" s="361" t="s">
        <v>149</v>
      </c>
      <c r="X32" s="361" t="s">
        <v>149</v>
      </c>
      <c r="Y32" s="361" t="s">
        <v>149</v>
      </c>
      <c r="Z32" s="361" t="s">
        <v>149</v>
      </c>
      <c r="AC32" s="266" t="s">
        <v>184</v>
      </c>
      <c r="AD32" s="361" t="s">
        <v>149</v>
      </c>
      <c r="AE32" s="361" t="s">
        <v>149</v>
      </c>
      <c r="AF32" s="361" t="s">
        <v>149</v>
      </c>
      <c r="AG32" s="361" t="s">
        <v>149</v>
      </c>
      <c r="AJ32" s="266" t="s">
        <v>184</v>
      </c>
      <c r="AK32" s="361" t="s">
        <v>149</v>
      </c>
      <c r="AL32" s="361" t="s">
        <v>149</v>
      </c>
      <c r="AM32" s="361" t="s">
        <v>149</v>
      </c>
      <c r="AN32" s="361" t="s">
        <v>149</v>
      </c>
      <c r="AO32" s="268"/>
      <c r="AQ32" s="266" t="s">
        <v>184</v>
      </c>
      <c r="AR32" s="361" t="s">
        <v>149</v>
      </c>
      <c r="AS32" s="361" t="s">
        <v>149</v>
      </c>
      <c r="AT32" s="361" t="s">
        <v>149</v>
      </c>
      <c r="AU32" s="361" t="s">
        <v>149</v>
      </c>
      <c r="AV32" s="268"/>
      <c r="AX32" s="266" t="s">
        <v>184</v>
      </c>
      <c r="AY32" s="361" t="s">
        <v>149</v>
      </c>
      <c r="AZ32" s="361" t="s">
        <v>149</v>
      </c>
      <c r="BA32" s="361" t="s">
        <v>149</v>
      </c>
      <c r="BB32" s="361" t="s">
        <v>149</v>
      </c>
      <c r="BC32" s="268"/>
      <c r="BE32" s="266" t="s">
        <v>184</v>
      </c>
      <c r="BF32" s="361" t="s">
        <v>149</v>
      </c>
      <c r="BG32" s="361" t="s">
        <v>149</v>
      </c>
      <c r="BH32" s="361" t="s">
        <v>149</v>
      </c>
      <c r="BI32" s="361" t="s">
        <v>149</v>
      </c>
      <c r="BJ32" s="268"/>
      <c r="BL32" s="266" t="s">
        <v>184</v>
      </c>
      <c r="BM32" s="361" t="s">
        <v>149</v>
      </c>
      <c r="BN32" s="361" t="s">
        <v>149</v>
      </c>
      <c r="BO32" s="361" t="s">
        <v>149</v>
      </c>
      <c r="BP32" s="361" t="s">
        <v>149</v>
      </c>
      <c r="BQ32" s="268"/>
      <c r="BS32" s="266" t="s">
        <v>184</v>
      </c>
      <c r="BT32" s="361" t="s">
        <v>149</v>
      </c>
      <c r="BU32" s="361" t="s">
        <v>149</v>
      </c>
      <c r="BV32" s="361" t="s">
        <v>149</v>
      </c>
      <c r="BW32" s="361" t="s">
        <v>149</v>
      </c>
      <c r="BX32" s="268"/>
      <c r="BZ32" s="266" t="s">
        <v>184</v>
      </c>
      <c r="CA32" s="361" t="s">
        <v>149</v>
      </c>
      <c r="CB32" s="361" t="s">
        <v>149</v>
      </c>
      <c r="CC32" s="361" t="s">
        <v>149</v>
      </c>
      <c r="CD32" s="361" t="s">
        <v>149</v>
      </c>
      <c r="CE32" s="268"/>
      <c r="CG32" s="266" t="s">
        <v>184</v>
      </c>
      <c r="CH32" s="361" t="s">
        <v>149</v>
      </c>
      <c r="CI32" s="361" t="s">
        <v>149</v>
      </c>
      <c r="CJ32" s="361" t="s">
        <v>149</v>
      </c>
      <c r="CK32" s="361" t="s">
        <v>149</v>
      </c>
      <c r="CL32" s="268"/>
      <c r="CN32" s="266" t="s">
        <v>184</v>
      </c>
      <c r="CO32" s="361" t="s">
        <v>149</v>
      </c>
      <c r="CP32" s="361" t="s">
        <v>149</v>
      </c>
      <c r="CQ32" s="361" t="s">
        <v>149</v>
      </c>
      <c r="CR32" s="361" t="s">
        <v>149</v>
      </c>
      <c r="CS32" s="268"/>
      <c r="CU32" s="266" t="s">
        <v>184</v>
      </c>
      <c r="CV32" s="361" t="s">
        <v>149</v>
      </c>
      <c r="CW32" s="361" t="s">
        <v>149</v>
      </c>
      <c r="CX32" s="361" t="s">
        <v>149</v>
      </c>
      <c r="CY32" s="361" t="s">
        <v>149</v>
      </c>
      <c r="CZ32" s="268"/>
      <c r="DB32" s="266" t="s">
        <v>184</v>
      </c>
      <c r="DC32" s="361" t="s">
        <v>149</v>
      </c>
      <c r="DD32" s="361" t="s">
        <v>149</v>
      </c>
      <c r="DE32" s="361" t="s">
        <v>149</v>
      </c>
      <c r="DF32" s="361" t="s">
        <v>149</v>
      </c>
      <c r="DG32" s="268"/>
      <c r="DI32" s="266" t="s">
        <v>184</v>
      </c>
      <c r="DJ32" s="361" t="s">
        <v>149</v>
      </c>
      <c r="DK32" s="361" t="s">
        <v>149</v>
      </c>
      <c r="DL32" s="361" t="s">
        <v>149</v>
      </c>
      <c r="DM32" s="361" t="s">
        <v>149</v>
      </c>
      <c r="DN32" s="268"/>
    </row>
    <row r="33" spans="1:118">
      <c r="A33" s="266" t="s">
        <v>8</v>
      </c>
      <c r="B33" s="361">
        <v>0.95</v>
      </c>
      <c r="C33" s="361" t="s">
        <v>517</v>
      </c>
      <c r="D33" s="361" t="s">
        <v>517</v>
      </c>
      <c r="E33" s="361">
        <v>0.95</v>
      </c>
      <c r="H33" s="266" t="s">
        <v>8</v>
      </c>
      <c r="I33" s="361">
        <v>1.1000000000000001</v>
      </c>
      <c r="J33" s="361" t="s">
        <v>517</v>
      </c>
      <c r="K33" s="361" t="s">
        <v>517</v>
      </c>
      <c r="L33" s="361">
        <v>1.1000000000000001</v>
      </c>
      <c r="O33" s="266" t="s">
        <v>8</v>
      </c>
      <c r="P33" s="361">
        <v>1.36</v>
      </c>
      <c r="Q33" s="361" t="s">
        <v>517</v>
      </c>
      <c r="R33" s="361" t="s">
        <v>517</v>
      </c>
      <c r="S33" s="361">
        <v>1.22</v>
      </c>
      <c r="V33" s="266" t="s">
        <v>8</v>
      </c>
      <c r="W33" s="361">
        <v>1.29</v>
      </c>
      <c r="X33" s="361" t="s">
        <v>517</v>
      </c>
      <c r="Y33" s="361" t="s">
        <v>517</v>
      </c>
      <c r="Z33" s="361">
        <v>1.29</v>
      </c>
      <c r="AC33" s="266" t="s">
        <v>8</v>
      </c>
      <c r="AD33" s="361">
        <v>1.23</v>
      </c>
      <c r="AE33" s="361" t="s">
        <v>517</v>
      </c>
      <c r="AF33" s="361" t="s">
        <v>517</v>
      </c>
      <c r="AG33" s="361">
        <v>1.23</v>
      </c>
      <c r="AJ33" s="266" t="s">
        <v>8</v>
      </c>
      <c r="AK33" s="361">
        <v>1.23</v>
      </c>
      <c r="AL33" s="361" t="s">
        <v>517</v>
      </c>
      <c r="AM33" s="361" t="s">
        <v>517</v>
      </c>
      <c r="AN33" s="361">
        <v>1.23</v>
      </c>
      <c r="AQ33" s="266" t="s">
        <v>8</v>
      </c>
      <c r="AR33" s="361">
        <v>1.33</v>
      </c>
      <c r="AS33" s="361" t="s">
        <v>517</v>
      </c>
      <c r="AT33" s="361" t="s">
        <v>517</v>
      </c>
      <c r="AU33" s="361">
        <f>+AR33</f>
        <v>1.33</v>
      </c>
      <c r="AX33" s="266" t="s">
        <v>363</v>
      </c>
      <c r="AY33" s="361" t="s">
        <v>149</v>
      </c>
      <c r="AZ33" s="361" t="s">
        <v>149</v>
      </c>
      <c r="BA33" s="361" t="s">
        <v>149</v>
      </c>
      <c r="BB33" s="361" t="s">
        <v>149</v>
      </c>
      <c r="BE33" s="266" t="s">
        <v>363</v>
      </c>
      <c r="BF33" s="361" t="s">
        <v>149</v>
      </c>
      <c r="BG33" s="361" t="s">
        <v>149</v>
      </c>
      <c r="BH33" s="361" t="s">
        <v>149</v>
      </c>
      <c r="BI33" s="361" t="s">
        <v>149</v>
      </c>
      <c r="BL33" s="266" t="s">
        <v>363</v>
      </c>
      <c r="BM33" s="361" t="s">
        <v>149</v>
      </c>
      <c r="BN33" s="361" t="s">
        <v>149</v>
      </c>
      <c r="BO33" s="361" t="s">
        <v>149</v>
      </c>
      <c r="BP33" s="361" t="s">
        <v>149</v>
      </c>
      <c r="BS33" s="266" t="s">
        <v>363</v>
      </c>
      <c r="BT33" s="361" t="s">
        <v>149</v>
      </c>
      <c r="BU33" s="361" t="s">
        <v>149</v>
      </c>
      <c r="BV33" s="361" t="s">
        <v>149</v>
      </c>
      <c r="BW33" s="361" t="s">
        <v>149</v>
      </c>
      <c r="BZ33" s="266" t="s">
        <v>363</v>
      </c>
      <c r="CA33" s="361" t="s">
        <v>149</v>
      </c>
      <c r="CB33" s="361" t="s">
        <v>149</v>
      </c>
      <c r="CC33" s="361" t="s">
        <v>149</v>
      </c>
      <c r="CD33" s="361" t="s">
        <v>149</v>
      </c>
      <c r="CG33" s="266" t="s">
        <v>363</v>
      </c>
      <c r="CH33" s="361" t="s">
        <v>149</v>
      </c>
      <c r="CI33" s="361" t="s">
        <v>149</v>
      </c>
      <c r="CJ33" s="361" t="s">
        <v>149</v>
      </c>
      <c r="CK33" s="361" t="s">
        <v>149</v>
      </c>
      <c r="CN33" s="266" t="s">
        <v>363</v>
      </c>
      <c r="CO33" s="361" t="s">
        <v>149</v>
      </c>
      <c r="CP33" s="361" t="s">
        <v>149</v>
      </c>
      <c r="CQ33" s="361" t="s">
        <v>149</v>
      </c>
      <c r="CR33" s="361" t="s">
        <v>149</v>
      </c>
      <c r="CU33" s="266" t="s">
        <v>363</v>
      </c>
      <c r="CV33" s="361" t="s">
        <v>149</v>
      </c>
      <c r="CW33" s="361" t="s">
        <v>149</v>
      </c>
      <c r="CX33" s="361" t="s">
        <v>149</v>
      </c>
      <c r="CY33" s="361" t="s">
        <v>149</v>
      </c>
      <c r="DB33" s="266" t="s">
        <v>363</v>
      </c>
      <c r="DC33" s="361" t="s">
        <v>149</v>
      </c>
      <c r="DD33" s="361" t="s">
        <v>149</v>
      </c>
      <c r="DE33" s="361" t="s">
        <v>149</v>
      </c>
      <c r="DF33" s="361" t="s">
        <v>149</v>
      </c>
      <c r="DI33" s="266" t="s">
        <v>363</v>
      </c>
      <c r="DJ33" s="361" t="s">
        <v>149</v>
      </c>
      <c r="DK33" s="361" t="s">
        <v>149</v>
      </c>
      <c r="DL33" s="361" t="s">
        <v>149</v>
      </c>
      <c r="DM33" s="361" t="s">
        <v>149</v>
      </c>
    </row>
    <row r="34" spans="1:118">
      <c r="A34" s="266" t="s">
        <v>225</v>
      </c>
      <c r="B34" s="361" t="s">
        <v>149</v>
      </c>
      <c r="C34" s="361" t="s">
        <v>149</v>
      </c>
      <c r="D34" s="361" t="s">
        <v>149</v>
      </c>
      <c r="E34" s="361" t="s">
        <v>149</v>
      </c>
      <c r="H34" s="266" t="s">
        <v>225</v>
      </c>
      <c r="I34" s="361" t="s">
        <v>149</v>
      </c>
      <c r="J34" s="361" t="s">
        <v>149</v>
      </c>
      <c r="K34" s="361" t="s">
        <v>149</v>
      </c>
      <c r="L34" s="361" t="s">
        <v>149</v>
      </c>
      <c r="O34" s="266" t="s">
        <v>225</v>
      </c>
      <c r="P34" s="361" t="s">
        <v>149</v>
      </c>
      <c r="Q34" s="361" t="s">
        <v>149</v>
      </c>
      <c r="R34" s="361" t="s">
        <v>149</v>
      </c>
      <c r="S34" s="361" t="s">
        <v>149</v>
      </c>
      <c r="V34" s="266" t="s">
        <v>225</v>
      </c>
      <c r="W34" s="361" t="s">
        <v>149</v>
      </c>
      <c r="X34" s="361" t="s">
        <v>149</v>
      </c>
      <c r="Y34" s="361" t="s">
        <v>149</v>
      </c>
      <c r="Z34" s="361" t="s">
        <v>149</v>
      </c>
      <c r="AC34" s="266" t="s">
        <v>225</v>
      </c>
      <c r="AD34" s="361" t="s">
        <v>149</v>
      </c>
      <c r="AE34" s="361" t="s">
        <v>149</v>
      </c>
      <c r="AF34" s="361" t="s">
        <v>149</v>
      </c>
      <c r="AG34" s="361" t="s">
        <v>149</v>
      </c>
      <c r="AJ34" s="266" t="s">
        <v>225</v>
      </c>
      <c r="AK34" s="361" t="s">
        <v>149</v>
      </c>
      <c r="AL34" s="361" t="s">
        <v>149</v>
      </c>
      <c r="AM34" s="361" t="s">
        <v>149</v>
      </c>
      <c r="AN34" s="361" t="s">
        <v>149</v>
      </c>
      <c r="AQ34" s="266" t="s">
        <v>225</v>
      </c>
      <c r="AR34" s="361" t="s">
        <v>149</v>
      </c>
      <c r="AS34" s="361" t="s">
        <v>149</v>
      </c>
      <c r="AT34" s="361" t="s">
        <v>149</v>
      </c>
      <c r="AU34" s="361" t="s">
        <v>149</v>
      </c>
      <c r="AX34" s="266" t="s">
        <v>8</v>
      </c>
      <c r="AY34" s="361">
        <v>1.33</v>
      </c>
      <c r="AZ34" s="361" t="s">
        <v>517</v>
      </c>
      <c r="BA34" s="361" t="s">
        <v>517</v>
      </c>
      <c r="BB34" s="361">
        <v>1.33</v>
      </c>
      <c r="BE34" s="266" t="s">
        <v>8</v>
      </c>
      <c r="BF34" s="361" t="s">
        <v>149</v>
      </c>
      <c r="BG34" s="361" t="s">
        <v>149</v>
      </c>
      <c r="BH34" s="361" t="s">
        <v>149</v>
      </c>
      <c r="BI34" s="361" t="s">
        <v>149</v>
      </c>
      <c r="BL34" s="266" t="s">
        <v>8</v>
      </c>
      <c r="BM34" s="361">
        <v>1.36</v>
      </c>
      <c r="BN34" s="361" t="s">
        <v>517</v>
      </c>
      <c r="BO34" s="361" t="s">
        <v>517</v>
      </c>
      <c r="BP34" s="361">
        <v>1.36</v>
      </c>
      <c r="BS34" s="266" t="s">
        <v>8</v>
      </c>
      <c r="BT34" s="361">
        <v>1.36</v>
      </c>
      <c r="BU34" s="361" t="s">
        <v>517</v>
      </c>
      <c r="BV34" s="361" t="s">
        <v>517</v>
      </c>
      <c r="BW34" s="361">
        <v>1.36</v>
      </c>
      <c r="BZ34" s="266" t="s">
        <v>8</v>
      </c>
      <c r="CA34" s="361">
        <v>1.36</v>
      </c>
      <c r="CB34" s="361" t="s">
        <v>517</v>
      </c>
      <c r="CC34" s="361" t="s">
        <v>517</v>
      </c>
      <c r="CD34" s="361">
        <v>1.36</v>
      </c>
      <c r="CG34" s="266" t="s">
        <v>8</v>
      </c>
      <c r="CH34" s="361">
        <v>1.74</v>
      </c>
      <c r="CI34" s="361" t="s">
        <v>517</v>
      </c>
      <c r="CJ34" s="361" t="s">
        <v>517</v>
      </c>
      <c r="CK34" s="361">
        <v>1.74</v>
      </c>
      <c r="CN34" s="266" t="s">
        <v>8</v>
      </c>
      <c r="CO34" s="361" t="s">
        <v>149</v>
      </c>
      <c r="CP34" s="361" t="s">
        <v>149</v>
      </c>
      <c r="CQ34" s="361" t="s">
        <v>149</v>
      </c>
      <c r="CR34" s="361" t="s">
        <v>149</v>
      </c>
      <c r="CU34" s="266" t="s">
        <v>8</v>
      </c>
      <c r="CV34" s="361" t="s">
        <v>149</v>
      </c>
      <c r="CW34" s="361" t="s">
        <v>149</v>
      </c>
      <c r="CX34" s="361" t="s">
        <v>149</v>
      </c>
      <c r="CY34" s="361" t="s">
        <v>149</v>
      </c>
      <c r="DB34" s="266" t="s">
        <v>8</v>
      </c>
      <c r="DC34" s="361" t="s">
        <v>149</v>
      </c>
      <c r="DD34" s="361" t="s">
        <v>149</v>
      </c>
      <c r="DE34" s="361" t="s">
        <v>149</v>
      </c>
      <c r="DF34" s="361" t="s">
        <v>149</v>
      </c>
      <c r="DI34" s="266" t="s">
        <v>8</v>
      </c>
      <c r="DJ34" s="361" t="s">
        <v>149</v>
      </c>
      <c r="DK34" s="361" t="s">
        <v>149</v>
      </c>
      <c r="DL34" s="361" t="s">
        <v>149</v>
      </c>
      <c r="DM34" s="361" t="s">
        <v>149</v>
      </c>
    </row>
    <row r="35" spans="1:118">
      <c r="A35" s="267" t="s">
        <v>9</v>
      </c>
      <c r="B35" s="361" t="s">
        <v>149</v>
      </c>
      <c r="C35" s="361" t="s">
        <v>149</v>
      </c>
      <c r="D35" s="361" t="s">
        <v>149</v>
      </c>
      <c r="E35" s="361" t="s">
        <v>149</v>
      </c>
      <c r="H35" s="267" t="s">
        <v>9</v>
      </c>
      <c r="I35" s="361" t="s">
        <v>149</v>
      </c>
      <c r="J35" s="361" t="s">
        <v>149</v>
      </c>
      <c r="K35" s="361" t="s">
        <v>149</v>
      </c>
      <c r="L35" s="361" t="s">
        <v>149</v>
      </c>
      <c r="O35" s="267" t="s">
        <v>9</v>
      </c>
      <c r="P35" s="361" t="s">
        <v>149</v>
      </c>
      <c r="Q35" s="361" t="s">
        <v>149</v>
      </c>
      <c r="R35" s="361" t="s">
        <v>149</v>
      </c>
      <c r="S35" s="361" t="s">
        <v>149</v>
      </c>
      <c r="V35" s="267" t="s">
        <v>9</v>
      </c>
      <c r="W35" s="361" t="s">
        <v>149</v>
      </c>
      <c r="X35" s="361" t="s">
        <v>149</v>
      </c>
      <c r="Y35" s="361" t="s">
        <v>149</v>
      </c>
      <c r="Z35" s="361" t="s">
        <v>149</v>
      </c>
      <c r="AC35" s="267" t="s">
        <v>9</v>
      </c>
      <c r="AD35" s="361" t="s">
        <v>149</v>
      </c>
      <c r="AE35" s="361" t="s">
        <v>149</v>
      </c>
      <c r="AF35" s="361" t="s">
        <v>149</v>
      </c>
      <c r="AG35" s="361" t="s">
        <v>149</v>
      </c>
      <c r="AJ35" s="267" t="s">
        <v>9</v>
      </c>
      <c r="AK35" s="361">
        <v>1.5383237297812606</v>
      </c>
      <c r="AL35" s="361" t="s">
        <v>517</v>
      </c>
      <c r="AM35" s="361" t="s">
        <v>517</v>
      </c>
      <c r="AN35" s="361">
        <v>1.5383919858716983</v>
      </c>
      <c r="AQ35" s="267" t="s">
        <v>9</v>
      </c>
      <c r="AR35" s="361">
        <v>1.8215479999999999</v>
      </c>
      <c r="AS35" s="361" t="s">
        <v>517</v>
      </c>
      <c r="AT35" s="361" t="s">
        <v>517</v>
      </c>
      <c r="AU35" s="361">
        <v>1.8215479999999999</v>
      </c>
      <c r="AX35" s="266" t="s">
        <v>225</v>
      </c>
      <c r="AY35" s="361" t="s">
        <v>149</v>
      </c>
      <c r="AZ35" s="361" t="s">
        <v>149</v>
      </c>
      <c r="BA35" s="361" t="s">
        <v>149</v>
      </c>
      <c r="BB35" s="361" t="s">
        <v>149</v>
      </c>
      <c r="BE35" s="266" t="s">
        <v>225</v>
      </c>
      <c r="BF35" s="361" t="s">
        <v>149</v>
      </c>
      <c r="BG35" s="361" t="s">
        <v>149</v>
      </c>
      <c r="BH35" s="361" t="s">
        <v>149</v>
      </c>
      <c r="BI35" s="361" t="s">
        <v>149</v>
      </c>
      <c r="BL35" s="266" t="s">
        <v>225</v>
      </c>
      <c r="BM35" s="256" t="s">
        <v>149</v>
      </c>
      <c r="BN35" s="634" t="s">
        <v>149</v>
      </c>
      <c r="BO35" s="388" t="s">
        <v>149</v>
      </c>
      <c r="BP35" s="635" t="s">
        <v>149</v>
      </c>
      <c r="BS35" s="266" t="s">
        <v>225</v>
      </c>
      <c r="BT35" s="256" t="s">
        <v>149</v>
      </c>
      <c r="BU35" s="634" t="s">
        <v>149</v>
      </c>
      <c r="BV35" s="388" t="s">
        <v>149</v>
      </c>
      <c r="BW35" s="635" t="s">
        <v>149</v>
      </c>
      <c r="BZ35" s="266" t="s">
        <v>225</v>
      </c>
      <c r="CA35" s="256" t="s">
        <v>149</v>
      </c>
      <c r="CB35" s="634" t="s">
        <v>149</v>
      </c>
      <c r="CC35" s="388" t="s">
        <v>149</v>
      </c>
      <c r="CD35" s="635" t="s">
        <v>149</v>
      </c>
      <c r="CG35" s="266" t="s">
        <v>225</v>
      </c>
      <c r="CH35" s="256">
        <v>2.87</v>
      </c>
      <c r="CI35" s="634">
        <v>7.1</v>
      </c>
      <c r="CJ35" s="388" t="s">
        <v>517</v>
      </c>
      <c r="CK35" s="635">
        <f>SUM(CH35:CI35)</f>
        <v>9.9699999999999989</v>
      </c>
      <c r="CN35" s="266" t="s">
        <v>225</v>
      </c>
      <c r="CO35" s="256">
        <v>2.87</v>
      </c>
      <c r="CP35" s="634">
        <v>7.1</v>
      </c>
      <c r="CQ35" s="388" t="s">
        <v>517</v>
      </c>
      <c r="CR35" s="635">
        <f>SUM(CO35:CQ35)</f>
        <v>9.9699999999999989</v>
      </c>
      <c r="CU35" s="266" t="s">
        <v>225</v>
      </c>
      <c r="CV35" s="256">
        <v>2.87</v>
      </c>
      <c r="CW35" s="634">
        <v>7.1</v>
      </c>
      <c r="CX35" s="388" t="s">
        <v>517</v>
      </c>
      <c r="CY35" s="635">
        <f>SUM(CV35:CW35)</f>
        <v>9.9699999999999989</v>
      </c>
      <c r="DB35" s="266" t="s">
        <v>225</v>
      </c>
      <c r="DC35" s="256">
        <v>2.87E-2</v>
      </c>
      <c r="DD35" s="634">
        <v>7.1000000000000008E-2</v>
      </c>
      <c r="DE35" s="388">
        <v>2.87E-2</v>
      </c>
      <c r="DF35" s="635"/>
      <c r="DI35" s="266" t="s">
        <v>225</v>
      </c>
      <c r="DJ35" s="256">
        <v>2.87E-2</v>
      </c>
      <c r="DK35" s="634">
        <v>7.1000000000000008E-2</v>
      </c>
      <c r="DL35" s="388">
        <v>2.87E-2</v>
      </c>
      <c r="DM35" s="635"/>
    </row>
    <row r="36" spans="1:118" ht="15.75" customHeight="1">
      <c r="A36" s="29"/>
      <c r="B36" s="29"/>
      <c r="H36" s="717" t="s">
        <v>263</v>
      </c>
      <c r="I36" s="717"/>
      <c r="J36" s="717"/>
      <c r="K36" s="717"/>
      <c r="L36" s="717"/>
      <c r="O36" s="717" t="s">
        <v>264</v>
      </c>
      <c r="P36" s="717"/>
      <c r="Q36" s="717"/>
      <c r="R36" s="717"/>
      <c r="S36" s="717"/>
      <c r="V36" s="717" t="s">
        <v>265</v>
      </c>
      <c r="W36" s="717"/>
      <c r="X36" s="717"/>
      <c r="Y36" s="717"/>
      <c r="Z36" s="717"/>
      <c r="AC36" s="269" t="s">
        <v>265</v>
      </c>
      <c r="AD36" s="269"/>
      <c r="AE36" s="269"/>
      <c r="AF36" s="269"/>
      <c r="AG36" s="269"/>
      <c r="AJ36" s="717" t="s">
        <v>265</v>
      </c>
      <c r="AK36" s="717"/>
      <c r="AL36" s="717"/>
      <c r="AM36" s="717"/>
      <c r="AN36" s="717"/>
      <c r="AQ36" s="717" t="s">
        <v>265</v>
      </c>
      <c r="AR36" s="717"/>
      <c r="AS36" s="717"/>
      <c r="AT36" s="717"/>
      <c r="AU36" s="717"/>
      <c r="AX36" s="267" t="s">
        <v>9</v>
      </c>
      <c r="AY36" s="636">
        <v>2.0907279999999999</v>
      </c>
      <c r="AZ36" s="637" t="s">
        <v>517</v>
      </c>
      <c r="BA36" s="637" t="s">
        <v>517</v>
      </c>
      <c r="BB36" s="376">
        <v>2.0907279999999999</v>
      </c>
      <c r="BE36" s="267" t="s">
        <v>9</v>
      </c>
      <c r="BF36" s="636">
        <v>2.4750000000000001</v>
      </c>
      <c r="BG36" s="637" t="s">
        <v>517</v>
      </c>
      <c r="BH36" s="637" t="s">
        <v>517</v>
      </c>
      <c r="BI36" s="376">
        <v>2.4750000000000001</v>
      </c>
      <c r="BL36" s="267" t="s">
        <v>9</v>
      </c>
      <c r="BM36" s="636">
        <v>2.4750000000000001</v>
      </c>
      <c r="BN36" s="637" t="s">
        <v>517</v>
      </c>
      <c r="BO36" s="637" t="s">
        <v>517</v>
      </c>
      <c r="BP36" s="376">
        <v>2.4750000000000001</v>
      </c>
      <c r="BS36" s="267" t="s">
        <v>9</v>
      </c>
      <c r="BT36" s="636">
        <v>2.4750000000000001</v>
      </c>
      <c r="BU36" s="637" t="s">
        <v>517</v>
      </c>
      <c r="BV36" s="637" t="s">
        <v>517</v>
      </c>
      <c r="BW36" s="376">
        <v>2.4750139999999998</v>
      </c>
      <c r="BZ36" s="267" t="s">
        <v>9</v>
      </c>
      <c r="CA36" s="636">
        <v>2.4750000000000001</v>
      </c>
      <c r="CB36" s="637" t="s">
        <v>517</v>
      </c>
      <c r="CC36" s="637" t="s">
        <v>517</v>
      </c>
      <c r="CD36" s="376">
        <v>2.4750000000000001</v>
      </c>
      <c r="CG36" s="267" t="s">
        <v>9</v>
      </c>
      <c r="CH36" s="636">
        <v>2.3210000000000002</v>
      </c>
      <c r="CI36" s="637" t="s">
        <v>517</v>
      </c>
      <c r="CJ36" s="637" t="s">
        <v>517</v>
      </c>
      <c r="CK36" s="376">
        <v>3.1320000000000001</v>
      </c>
      <c r="CN36" s="267" t="s">
        <v>9</v>
      </c>
      <c r="CO36" s="636">
        <v>2.1212960000000001</v>
      </c>
      <c r="CP36" s="637">
        <v>0</v>
      </c>
      <c r="CQ36" s="637">
        <v>0</v>
      </c>
      <c r="CR36" s="376">
        <v>2.9143430000000001</v>
      </c>
      <c r="CU36" s="267" t="s">
        <v>9</v>
      </c>
      <c r="CV36" s="636">
        <v>2.0324140000000002</v>
      </c>
      <c r="CW36" s="361" t="s">
        <v>149</v>
      </c>
      <c r="CX36" s="361" t="s">
        <v>149</v>
      </c>
      <c r="CY36" s="376">
        <v>2.8219770000000004</v>
      </c>
      <c r="CZ36" s="328"/>
      <c r="DB36" s="267" t="s">
        <v>9</v>
      </c>
      <c r="DC36" s="636">
        <v>1.5805469999999999</v>
      </c>
      <c r="DD36" s="361">
        <v>0</v>
      </c>
      <c r="DE36" s="361">
        <v>0</v>
      </c>
      <c r="DF36" s="376">
        <v>2.3331970000000002</v>
      </c>
      <c r="DG36" s="328"/>
      <c r="DI36" s="267" t="s">
        <v>9</v>
      </c>
      <c r="DJ36" s="636">
        <v>1.3951210000000001</v>
      </c>
      <c r="DK36" s="361"/>
      <c r="DL36" s="361"/>
      <c r="DM36" s="376">
        <v>2.1297990000000002</v>
      </c>
      <c r="DN36" s="328"/>
    </row>
    <row r="37" spans="1:118" ht="15.75" customHeight="1">
      <c r="A37" s="29"/>
      <c r="B37" s="29"/>
      <c r="H37" s="247"/>
      <c r="I37" s="247"/>
      <c r="J37" s="247"/>
      <c r="K37" s="247"/>
      <c r="L37" s="247"/>
      <c r="O37" s="247"/>
      <c r="P37" s="247"/>
      <c r="Q37" s="247"/>
      <c r="R37" s="247"/>
      <c r="S37" s="247"/>
      <c r="V37" s="247"/>
      <c r="W37" s="247"/>
      <c r="X37" s="247"/>
      <c r="Y37" s="247"/>
      <c r="Z37" s="247"/>
      <c r="AC37" s="247"/>
      <c r="AD37" s="247"/>
      <c r="AE37" s="247"/>
      <c r="AF37" s="247"/>
      <c r="AG37" s="247"/>
      <c r="AJ37" s="247"/>
      <c r="AK37" s="247"/>
      <c r="AL37" s="247"/>
      <c r="AM37" s="247"/>
      <c r="AN37" s="247"/>
      <c r="AQ37" s="247"/>
      <c r="AR37" s="247"/>
      <c r="AS37" s="247"/>
      <c r="AT37" s="247"/>
      <c r="AU37" s="247"/>
      <c r="AX37" s="269" t="s">
        <v>265</v>
      </c>
      <c r="AY37" s="269"/>
      <c r="AZ37" s="269"/>
      <c r="BA37" s="269"/>
      <c r="BB37" s="269"/>
      <c r="BE37" s="269" t="s">
        <v>265</v>
      </c>
      <c r="BF37" s="269"/>
      <c r="BG37" s="269"/>
      <c r="BH37" s="269"/>
      <c r="BI37" s="269"/>
      <c r="BL37" s="269" t="s">
        <v>265</v>
      </c>
      <c r="BM37" s="269"/>
      <c r="BN37" s="269"/>
      <c r="BO37" s="269"/>
      <c r="BP37" s="269"/>
      <c r="BS37" s="269" t="s">
        <v>265</v>
      </c>
      <c r="BT37" s="269"/>
      <c r="BU37" s="269"/>
      <c r="BV37" s="269"/>
      <c r="BW37" s="269"/>
      <c r="BZ37" s="269" t="s">
        <v>265</v>
      </c>
      <c r="CA37" s="269"/>
      <c r="CB37" s="269"/>
      <c r="CC37" s="269"/>
      <c r="CD37" s="269"/>
      <c r="CG37" s="269" t="s">
        <v>265</v>
      </c>
      <c r="CH37" s="269"/>
      <c r="CI37" s="269"/>
      <c r="CJ37" s="269"/>
      <c r="CK37" s="269"/>
      <c r="CN37" s="269" t="s">
        <v>265</v>
      </c>
      <c r="CO37" s="269"/>
      <c r="CP37" s="269"/>
      <c r="CQ37" s="269"/>
      <c r="CR37" s="269"/>
      <c r="CU37" s="269" t="s">
        <v>265</v>
      </c>
      <c r="CV37" s="269"/>
      <c r="CW37" s="269"/>
      <c r="CX37" s="269"/>
      <c r="CY37" s="269"/>
      <c r="DB37" s="269" t="s">
        <v>265</v>
      </c>
      <c r="DC37" s="269"/>
      <c r="DD37" s="269"/>
      <c r="DE37" s="269"/>
      <c r="DF37" s="269"/>
      <c r="DI37" s="269" t="s">
        <v>265</v>
      </c>
      <c r="DJ37" s="269"/>
      <c r="DK37" s="269"/>
      <c r="DL37" s="269"/>
      <c r="DM37" s="269"/>
    </row>
    <row r="38" spans="1:118">
      <c r="A38" s="29"/>
      <c r="B38" s="29"/>
    </row>
    <row r="39" spans="1:118">
      <c r="A39" s="9" t="s">
        <v>266</v>
      </c>
      <c r="B39" s="9"/>
      <c r="H39" s="9" t="s">
        <v>266</v>
      </c>
      <c r="I39" s="9"/>
      <c r="O39" s="9" t="s">
        <v>266</v>
      </c>
      <c r="P39" s="9"/>
      <c r="V39" s="9" t="s">
        <v>266</v>
      </c>
      <c r="W39" s="9"/>
      <c r="AC39" s="9" t="s">
        <v>266</v>
      </c>
      <c r="AD39" s="9"/>
      <c r="AJ39" s="9" t="s">
        <v>266</v>
      </c>
      <c r="AK39" s="9"/>
      <c r="AQ39" s="9" t="s">
        <v>266</v>
      </c>
      <c r="AR39" s="9"/>
      <c r="AX39" s="9" t="s">
        <v>266</v>
      </c>
      <c r="AY39" s="9"/>
      <c r="BE39" s="9" t="s">
        <v>266</v>
      </c>
      <c r="BF39" s="9"/>
      <c r="BL39" s="9" t="s">
        <v>266</v>
      </c>
      <c r="BM39" s="9"/>
      <c r="BS39" s="9" t="s">
        <v>266</v>
      </c>
      <c r="BT39" s="9"/>
      <c r="BZ39" s="9" t="s">
        <v>266</v>
      </c>
      <c r="CA39" s="9"/>
      <c r="CG39" s="9" t="s">
        <v>266</v>
      </c>
      <c r="CH39" s="9"/>
      <c r="CN39" s="9" t="s">
        <v>266</v>
      </c>
      <c r="CO39" s="9"/>
      <c r="CU39" s="9" t="s">
        <v>266</v>
      </c>
      <c r="CV39" s="9"/>
      <c r="DB39" s="9" t="s">
        <v>266</v>
      </c>
      <c r="DC39" s="9"/>
      <c r="DI39" s="9" t="s">
        <v>266</v>
      </c>
      <c r="DJ39" s="9"/>
    </row>
    <row r="40" spans="1:118" ht="8.1" customHeight="1">
      <c r="A40" s="29"/>
      <c r="B40" s="29"/>
    </row>
    <row r="41" spans="1:118" ht="15.95" customHeight="1">
      <c r="A41" s="713" t="s">
        <v>0</v>
      </c>
      <c r="B41" s="270" t="s">
        <v>267</v>
      </c>
      <c r="C41" s="270" t="s">
        <v>268</v>
      </c>
      <c r="D41" s="271"/>
      <c r="E41" s="271"/>
      <c r="H41" s="713" t="s">
        <v>0</v>
      </c>
      <c r="I41" s="270" t="s">
        <v>267</v>
      </c>
      <c r="J41" s="270" t="s">
        <v>268</v>
      </c>
      <c r="K41" s="271"/>
      <c r="L41" s="271"/>
      <c r="O41" s="713" t="s">
        <v>0</v>
      </c>
      <c r="P41" s="270" t="s">
        <v>267</v>
      </c>
      <c r="Q41" s="270" t="s">
        <v>268</v>
      </c>
      <c r="R41" s="271"/>
      <c r="S41" s="271"/>
      <c r="V41" s="713" t="s">
        <v>0</v>
      </c>
      <c r="W41" s="270" t="s">
        <v>267</v>
      </c>
      <c r="X41" s="270" t="s">
        <v>268</v>
      </c>
      <c r="Y41" s="271"/>
      <c r="Z41" s="271"/>
      <c r="AC41" s="713" t="s">
        <v>0</v>
      </c>
      <c r="AD41" s="270" t="s">
        <v>267</v>
      </c>
      <c r="AE41" s="270" t="s">
        <v>268</v>
      </c>
      <c r="AF41" s="271"/>
      <c r="AG41" s="271"/>
      <c r="AJ41" s="713" t="s">
        <v>0</v>
      </c>
      <c r="AK41" s="270" t="s">
        <v>267</v>
      </c>
      <c r="AL41" s="270" t="s">
        <v>268</v>
      </c>
      <c r="AM41" s="271"/>
      <c r="AN41" s="271"/>
      <c r="AQ41" s="713" t="s">
        <v>0</v>
      </c>
      <c r="AR41" s="270" t="s">
        <v>267</v>
      </c>
      <c r="AS41" s="270" t="s">
        <v>268</v>
      </c>
      <c r="AT41" s="271"/>
      <c r="AU41" s="271"/>
      <c r="AX41" s="713" t="s">
        <v>0</v>
      </c>
      <c r="AY41" s="270" t="s">
        <v>267</v>
      </c>
      <c r="AZ41" s="270" t="s">
        <v>268</v>
      </c>
      <c r="BA41" s="271"/>
      <c r="BB41" s="271"/>
      <c r="BE41" s="713" t="s">
        <v>0</v>
      </c>
      <c r="BF41" s="270" t="s">
        <v>267</v>
      </c>
      <c r="BG41" s="270" t="s">
        <v>268</v>
      </c>
      <c r="BH41" s="271"/>
      <c r="BI41" s="271"/>
      <c r="BL41" s="713" t="s">
        <v>0</v>
      </c>
      <c r="BM41" s="270" t="s">
        <v>267</v>
      </c>
      <c r="BN41" s="270" t="s">
        <v>268</v>
      </c>
      <c r="BO41" s="271"/>
      <c r="BP41" s="271"/>
      <c r="BS41" s="713" t="s">
        <v>0</v>
      </c>
      <c r="BT41" s="270" t="s">
        <v>267</v>
      </c>
      <c r="BU41" s="270" t="s">
        <v>268</v>
      </c>
      <c r="BV41" s="271"/>
      <c r="BW41" s="271"/>
      <c r="BZ41" s="713" t="s">
        <v>0</v>
      </c>
      <c r="CA41" s="270" t="s">
        <v>267</v>
      </c>
      <c r="CB41" s="270" t="s">
        <v>268</v>
      </c>
      <c r="CC41" s="271"/>
      <c r="CD41" s="271"/>
      <c r="CG41" s="713" t="s">
        <v>0</v>
      </c>
      <c r="CH41" s="270" t="s">
        <v>267</v>
      </c>
      <c r="CI41" s="270" t="s">
        <v>268</v>
      </c>
      <c r="CJ41" s="271"/>
      <c r="CK41" s="271"/>
      <c r="CN41" s="713" t="s">
        <v>0</v>
      </c>
      <c r="CO41" s="270" t="s">
        <v>267</v>
      </c>
      <c r="CP41" s="270" t="s">
        <v>268</v>
      </c>
      <c r="CQ41" s="271"/>
      <c r="CR41" s="271"/>
      <c r="CU41" s="713" t="s">
        <v>0</v>
      </c>
      <c r="CV41" s="270" t="s">
        <v>267</v>
      </c>
      <c r="CW41" s="270" t="s">
        <v>268</v>
      </c>
      <c r="CX41" s="271"/>
      <c r="CY41" s="271"/>
      <c r="DB41" s="713" t="s">
        <v>0</v>
      </c>
      <c r="DC41" s="270" t="s">
        <v>267</v>
      </c>
      <c r="DD41" s="270" t="s">
        <v>268</v>
      </c>
      <c r="DE41" s="271"/>
      <c r="DF41" s="271"/>
      <c r="DI41" s="713" t="s">
        <v>0</v>
      </c>
      <c r="DJ41" s="270" t="s">
        <v>267</v>
      </c>
      <c r="DK41" s="270" t="s">
        <v>268</v>
      </c>
      <c r="DL41" s="271"/>
      <c r="DM41" s="271"/>
    </row>
    <row r="42" spans="1:118" ht="51" customHeight="1">
      <c r="A42" s="714"/>
      <c r="B42" s="272" t="s">
        <v>269</v>
      </c>
      <c r="C42" s="272" t="s">
        <v>270</v>
      </c>
      <c r="D42" s="272" t="s">
        <v>271</v>
      </c>
      <c r="E42" s="272" t="s">
        <v>272</v>
      </c>
      <c r="H42" s="714"/>
      <c r="I42" s="272" t="s">
        <v>269</v>
      </c>
      <c r="J42" s="272" t="s">
        <v>270</v>
      </c>
      <c r="K42" s="272" t="s">
        <v>271</v>
      </c>
      <c r="L42" s="272" t="s">
        <v>272</v>
      </c>
      <c r="O42" s="714"/>
      <c r="P42" s="272" t="s">
        <v>269</v>
      </c>
      <c r="Q42" s="272" t="s">
        <v>270</v>
      </c>
      <c r="R42" s="272" t="s">
        <v>271</v>
      </c>
      <c r="S42" s="272" t="s">
        <v>272</v>
      </c>
      <c r="V42" s="714"/>
      <c r="W42" s="272" t="s">
        <v>269</v>
      </c>
      <c r="X42" s="272" t="s">
        <v>270</v>
      </c>
      <c r="Y42" s="272" t="s">
        <v>271</v>
      </c>
      <c r="Z42" s="272" t="s">
        <v>272</v>
      </c>
      <c r="AC42" s="714"/>
      <c r="AD42" s="272" t="s">
        <v>269</v>
      </c>
      <c r="AE42" s="272" t="s">
        <v>270</v>
      </c>
      <c r="AF42" s="272" t="s">
        <v>271</v>
      </c>
      <c r="AG42" s="272" t="s">
        <v>272</v>
      </c>
      <c r="AJ42" s="714"/>
      <c r="AK42" s="272" t="s">
        <v>269</v>
      </c>
      <c r="AL42" s="272" t="s">
        <v>270</v>
      </c>
      <c r="AM42" s="272" t="s">
        <v>271</v>
      </c>
      <c r="AN42" s="272" t="s">
        <v>272</v>
      </c>
      <c r="AQ42" s="714"/>
      <c r="AR42" s="272" t="s">
        <v>269</v>
      </c>
      <c r="AS42" s="272" t="s">
        <v>270</v>
      </c>
      <c r="AT42" s="272" t="s">
        <v>271</v>
      </c>
      <c r="AU42" s="272" t="s">
        <v>272</v>
      </c>
      <c r="AX42" s="714"/>
      <c r="AY42" s="272" t="s">
        <v>269</v>
      </c>
      <c r="AZ42" s="272" t="s">
        <v>270</v>
      </c>
      <c r="BA42" s="272" t="s">
        <v>271</v>
      </c>
      <c r="BB42" s="272" t="s">
        <v>272</v>
      </c>
      <c r="BE42" s="714"/>
      <c r="BF42" s="272" t="s">
        <v>269</v>
      </c>
      <c r="BG42" s="272" t="s">
        <v>270</v>
      </c>
      <c r="BH42" s="272" t="s">
        <v>271</v>
      </c>
      <c r="BI42" s="272" t="s">
        <v>272</v>
      </c>
      <c r="BL42" s="714"/>
      <c r="BM42" s="272" t="s">
        <v>269</v>
      </c>
      <c r="BN42" s="272" t="s">
        <v>270</v>
      </c>
      <c r="BO42" s="272" t="s">
        <v>271</v>
      </c>
      <c r="BP42" s="272" t="s">
        <v>272</v>
      </c>
      <c r="BS42" s="714"/>
      <c r="BT42" s="272" t="s">
        <v>269</v>
      </c>
      <c r="BU42" s="272" t="s">
        <v>270</v>
      </c>
      <c r="BV42" s="272" t="s">
        <v>271</v>
      </c>
      <c r="BW42" s="272" t="s">
        <v>272</v>
      </c>
      <c r="BZ42" s="714"/>
      <c r="CA42" s="272" t="s">
        <v>269</v>
      </c>
      <c r="CB42" s="272" t="s">
        <v>270</v>
      </c>
      <c r="CC42" s="272" t="s">
        <v>271</v>
      </c>
      <c r="CD42" s="272" t="s">
        <v>272</v>
      </c>
      <c r="CG42" s="714"/>
      <c r="CH42" s="272" t="s">
        <v>269</v>
      </c>
      <c r="CI42" s="272" t="s">
        <v>270</v>
      </c>
      <c r="CJ42" s="272" t="s">
        <v>271</v>
      </c>
      <c r="CK42" s="272" t="s">
        <v>272</v>
      </c>
      <c r="CN42" s="714"/>
      <c r="CO42" s="272" t="s">
        <v>269</v>
      </c>
      <c r="CP42" s="272" t="s">
        <v>270</v>
      </c>
      <c r="CQ42" s="272" t="s">
        <v>271</v>
      </c>
      <c r="CR42" s="272" t="s">
        <v>272</v>
      </c>
      <c r="CU42" s="714"/>
      <c r="CV42" s="272" t="s">
        <v>269</v>
      </c>
      <c r="CW42" s="272" t="s">
        <v>270</v>
      </c>
      <c r="CX42" s="272" t="s">
        <v>271</v>
      </c>
      <c r="CY42" s="272" t="s">
        <v>272</v>
      </c>
      <c r="DB42" s="714"/>
      <c r="DC42" s="272" t="s">
        <v>269</v>
      </c>
      <c r="DD42" s="272" t="s">
        <v>270</v>
      </c>
      <c r="DE42" s="272" t="s">
        <v>271</v>
      </c>
      <c r="DF42" s="272" t="s">
        <v>272</v>
      </c>
      <c r="DI42" s="714"/>
      <c r="DJ42" s="272" t="s">
        <v>269</v>
      </c>
      <c r="DK42" s="272" t="s">
        <v>270</v>
      </c>
      <c r="DL42" s="272" t="s">
        <v>271</v>
      </c>
      <c r="DM42" s="272" t="s">
        <v>272</v>
      </c>
    </row>
    <row r="43" spans="1:118" ht="54" customHeight="1">
      <c r="A43" s="705"/>
      <c r="B43" s="265" t="s">
        <v>273</v>
      </c>
      <c r="C43" s="265" t="s">
        <v>274</v>
      </c>
      <c r="D43" s="273" t="s">
        <v>275</v>
      </c>
      <c r="E43" s="274" t="s">
        <v>276</v>
      </c>
      <c r="H43" s="705"/>
      <c r="I43" s="265" t="s">
        <v>273</v>
      </c>
      <c r="J43" s="265" t="s">
        <v>274</v>
      </c>
      <c r="K43" s="273" t="s">
        <v>275</v>
      </c>
      <c r="L43" s="274" t="s">
        <v>276</v>
      </c>
      <c r="O43" s="705"/>
      <c r="P43" s="265" t="s">
        <v>273</v>
      </c>
      <c r="Q43" s="265" t="s">
        <v>274</v>
      </c>
      <c r="R43" s="273" t="s">
        <v>275</v>
      </c>
      <c r="S43" s="274" t="s">
        <v>276</v>
      </c>
      <c r="V43" s="705"/>
      <c r="W43" s="265" t="s">
        <v>273</v>
      </c>
      <c r="X43" s="265" t="s">
        <v>274</v>
      </c>
      <c r="Y43" s="273" t="s">
        <v>275</v>
      </c>
      <c r="Z43" s="274" t="s">
        <v>276</v>
      </c>
      <c r="AC43" s="705"/>
      <c r="AD43" s="265" t="s">
        <v>273</v>
      </c>
      <c r="AE43" s="265" t="s">
        <v>274</v>
      </c>
      <c r="AF43" s="273" t="s">
        <v>275</v>
      </c>
      <c r="AG43" s="274" t="s">
        <v>276</v>
      </c>
      <c r="AJ43" s="705"/>
      <c r="AK43" s="265" t="s">
        <v>273</v>
      </c>
      <c r="AL43" s="265" t="s">
        <v>274</v>
      </c>
      <c r="AM43" s="273" t="s">
        <v>275</v>
      </c>
      <c r="AN43" s="274" t="s">
        <v>276</v>
      </c>
      <c r="AQ43" s="705"/>
      <c r="AR43" s="265" t="s">
        <v>273</v>
      </c>
      <c r="AS43" s="265" t="s">
        <v>274</v>
      </c>
      <c r="AT43" s="273" t="s">
        <v>275</v>
      </c>
      <c r="AU43" s="274" t="s">
        <v>276</v>
      </c>
      <c r="AX43" s="705"/>
      <c r="AY43" s="265" t="s">
        <v>273</v>
      </c>
      <c r="AZ43" s="265" t="s">
        <v>274</v>
      </c>
      <c r="BA43" s="273" t="s">
        <v>275</v>
      </c>
      <c r="BB43" s="274" t="s">
        <v>276</v>
      </c>
      <c r="BE43" s="705"/>
      <c r="BF43" s="265" t="s">
        <v>273</v>
      </c>
      <c r="BG43" s="265" t="s">
        <v>274</v>
      </c>
      <c r="BH43" s="273" t="s">
        <v>275</v>
      </c>
      <c r="BI43" s="274" t="s">
        <v>276</v>
      </c>
      <c r="BL43" s="705"/>
      <c r="BM43" s="265" t="s">
        <v>273</v>
      </c>
      <c r="BN43" s="265" t="s">
        <v>274</v>
      </c>
      <c r="BO43" s="273" t="s">
        <v>275</v>
      </c>
      <c r="BP43" s="274" t="s">
        <v>276</v>
      </c>
      <c r="BS43" s="705"/>
      <c r="BT43" s="265" t="s">
        <v>273</v>
      </c>
      <c r="BU43" s="265" t="s">
        <v>274</v>
      </c>
      <c r="BV43" s="273" t="s">
        <v>275</v>
      </c>
      <c r="BW43" s="274" t="s">
        <v>276</v>
      </c>
      <c r="BZ43" s="705"/>
      <c r="CA43" s="265" t="s">
        <v>273</v>
      </c>
      <c r="CB43" s="265" t="s">
        <v>274</v>
      </c>
      <c r="CC43" s="273" t="s">
        <v>275</v>
      </c>
      <c r="CD43" s="274" t="s">
        <v>276</v>
      </c>
      <c r="CG43" s="705"/>
      <c r="CH43" s="265" t="s">
        <v>273</v>
      </c>
      <c r="CI43" s="265" t="s">
        <v>274</v>
      </c>
      <c r="CJ43" s="273" t="s">
        <v>275</v>
      </c>
      <c r="CK43" s="274" t="s">
        <v>276</v>
      </c>
      <c r="CN43" s="705"/>
      <c r="CO43" s="265" t="s">
        <v>273</v>
      </c>
      <c r="CP43" s="265" t="s">
        <v>274</v>
      </c>
      <c r="CQ43" s="273" t="s">
        <v>275</v>
      </c>
      <c r="CR43" s="274" t="s">
        <v>276</v>
      </c>
      <c r="CU43" s="705"/>
      <c r="CV43" s="265" t="s">
        <v>273</v>
      </c>
      <c r="CW43" s="265" t="s">
        <v>274</v>
      </c>
      <c r="CX43" s="273" t="s">
        <v>275</v>
      </c>
      <c r="CY43" s="274" t="s">
        <v>276</v>
      </c>
      <c r="DB43" s="705"/>
      <c r="DC43" s="265" t="s">
        <v>273</v>
      </c>
      <c r="DD43" s="265" t="s">
        <v>274</v>
      </c>
      <c r="DE43" s="273" t="s">
        <v>275</v>
      </c>
      <c r="DF43" s="274" t="s">
        <v>276</v>
      </c>
      <c r="DI43" s="705"/>
      <c r="DJ43" s="265" t="s">
        <v>273</v>
      </c>
      <c r="DK43" s="265" t="s">
        <v>274</v>
      </c>
      <c r="DL43" s="273" t="s">
        <v>275</v>
      </c>
      <c r="DM43" s="274" t="s">
        <v>276</v>
      </c>
    </row>
    <row r="44" spans="1:118">
      <c r="A44" s="266" t="s">
        <v>221</v>
      </c>
      <c r="B44" s="275" t="s">
        <v>149</v>
      </c>
      <c r="C44" s="275" t="s">
        <v>149</v>
      </c>
      <c r="D44" s="655" t="s">
        <v>149</v>
      </c>
      <c r="E44" s="366" t="s">
        <v>149</v>
      </c>
      <c r="H44" s="266" t="s">
        <v>221</v>
      </c>
      <c r="I44" s="275" t="s">
        <v>149</v>
      </c>
      <c r="J44" s="275" t="s">
        <v>149</v>
      </c>
      <c r="K44" s="655" t="s">
        <v>149</v>
      </c>
      <c r="L44" s="366" t="s">
        <v>149</v>
      </c>
      <c r="O44" s="266" t="s">
        <v>221</v>
      </c>
      <c r="P44" s="275" t="s">
        <v>149</v>
      </c>
      <c r="Q44" s="275" t="s">
        <v>149</v>
      </c>
      <c r="R44" s="655" t="s">
        <v>149</v>
      </c>
      <c r="S44" s="366" t="s">
        <v>149</v>
      </c>
      <c r="V44" s="266" t="s">
        <v>221</v>
      </c>
      <c r="W44" s="645">
        <v>992.76</v>
      </c>
      <c r="X44" s="645">
        <v>152962.40930991434</v>
      </c>
      <c r="Y44" s="666">
        <f>+W44/X44</f>
        <v>6.4902220387270913E-3</v>
      </c>
      <c r="Z44" s="664" t="s">
        <v>517</v>
      </c>
      <c r="AC44" s="266" t="s">
        <v>221</v>
      </c>
      <c r="AD44" s="645">
        <v>984.56</v>
      </c>
      <c r="AE44" s="645">
        <v>154265.4776039923</v>
      </c>
      <c r="AF44" s="663">
        <f>+AD44/AE44</f>
        <v>6.3822445260722427E-3</v>
      </c>
      <c r="AG44" s="664" t="s">
        <v>517</v>
      </c>
      <c r="AJ44" s="266" t="s">
        <v>221</v>
      </c>
      <c r="AK44" s="275">
        <v>912.98</v>
      </c>
      <c r="AL44" s="275">
        <v>156603.43729121966</v>
      </c>
      <c r="AM44" s="661">
        <f>+AK44/AL44</f>
        <v>5.829884808353363E-3</v>
      </c>
      <c r="AN44" s="366" t="s">
        <v>517</v>
      </c>
      <c r="AQ44" s="266" t="s">
        <v>221</v>
      </c>
      <c r="AR44" s="275">
        <v>835.36832357847709</v>
      </c>
      <c r="AS44" s="275">
        <v>146290.52568248226</v>
      </c>
      <c r="AT44" s="655">
        <f>AR44/AS44</f>
        <v>5.7103378341233843E-3</v>
      </c>
      <c r="AU44" s="366" t="s">
        <v>517</v>
      </c>
      <c r="AX44" s="266" t="s">
        <v>221</v>
      </c>
      <c r="AY44" s="275">
        <v>922.1823659878014</v>
      </c>
      <c r="AZ44" s="275">
        <v>165024.23870302268</v>
      </c>
      <c r="BA44" s="655">
        <f>+AY44/AZ44</f>
        <v>5.588163128250263E-3</v>
      </c>
      <c r="BB44" s="366" t="s">
        <v>517</v>
      </c>
      <c r="BE44" s="266" t="s">
        <v>221</v>
      </c>
      <c r="BF44" s="650">
        <v>1010.4856994245961</v>
      </c>
      <c r="BG44" s="581">
        <v>199199.87297454241</v>
      </c>
      <c r="BH44" s="638">
        <f>+BF44/BG44</f>
        <v>5.0727226093850745E-3</v>
      </c>
      <c r="BI44" s="581" t="s">
        <v>517</v>
      </c>
      <c r="BL44" s="266" t="s">
        <v>221</v>
      </c>
      <c r="BM44" s="582" t="s">
        <v>149</v>
      </c>
      <c r="BN44" s="581" t="s">
        <v>149</v>
      </c>
      <c r="BO44" s="638" t="s">
        <v>149</v>
      </c>
      <c r="BP44" s="581" t="s">
        <v>149</v>
      </c>
      <c r="BS44" s="266" t="s">
        <v>221</v>
      </c>
      <c r="BT44" s="365">
        <v>926.79089871343774</v>
      </c>
      <c r="BU44" s="581" t="s">
        <v>149</v>
      </c>
      <c r="BV44" s="643" t="s">
        <v>149</v>
      </c>
      <c r="BW44" s="641" t="s">
        <v>149</v>
      </c>
      <c r="BZ44" s="266" t="s">
        <v>221</v>
      </c>
      <c r="CA44" s="365">
        <v>976.6046060401552</v>
      </c>
      <c r="CB44" s="581" t="s">
        <v>149</v>
      </c>
      <c r="CC44" s="643" t="s">
        <v>149</v>
      </c>
      <c r="CD44" s="641" t="s">
        <v>149</v>
      </c>
      <c r="CG44" s="266" t="s">
        <v>221</v>
      </c>
      <c r="CH44" s="365">
        <v>883.09552602175836</v>
      </c>
      <c r="CI44" s="645">
        <v>157540.42966988648</v>
      </c>
      <c r="CJ44" s="643">
        <f>CH44/CI44</f>
        <v>5.6055168052557384E-3</v>
      </c>
      <c r="CK44" s="640" t="s">
        <v>517</v>
      </c>
      <c r="CN44" s="266" t="s">
        <v>221</v>
      </c>
      <c r="CO44" s="365">
        <v>969.71505276262053</v>
      </c>
      <c r="CP44" s="603">
        <v>164689.93641679679</v>
      </c>
      <c r="CQ44" s="639">
        <f>CO44/CP44</f>
        <v>5.8881257340974904E-3</v>
      </c>
      <c r="CR44" s="640" t="s">
        <v>517</v>
      </c>
      <c r="CU44" s="266" t="s">
        <v>221</v>
      </c>
      <c r="CV44" s="365">
        <v>1193.1257011722946</v>
      </c>
      <c r="CW44" s="603">
        <v>177146.37292586395</v>
      </c>
      <c r="CX44" s="639">
        <f>CV44/CW44</f>
        <v>6.7352533470816231E-3</v>
      </c>
      <c r="CY44" s="604" t="s">
        <v>517</v>
      </c>
      <c r="CZ44" s="328"/>
      <c r="DB44" s="266" t="s">
        <v>221</v>
      </c>
      <c r="DC44" s="365">
        <v>966.28487884530102</v>
      </c>
      <c r="DD44" s="603">
        <v>175564.63156882636</v>
      </c>
      <c r="DE44" s="639"/>
      <c r="DF44" s="640"/>
      <c r="DI44" s="266" t="s">
        <v>221</v>
      </c>
      <c r="DJ44" s="365">
        <v>1115.108184990891</v>
      </c>
      <c r="DK44" s="603">
        <v>225944.91059501524</v>
      </c>
      <c r="DL44" s="639">
        <f>DJ44/DK44</f>
        <v>4.9353100366558659E-3</v>
      </c>
      <c r="DM44" s="640"/>
      <c r="DN44" s="328"/>
    </row>
    <row r="45" spans="1:118" ht="17.25">
      <c r="A45" s="266" t="s">
        <v>277</v>
      </c>
      <c r="B45" s="275">
        <v>427.73392336478781</v>
      </c>
      <c r="C45" s="275">
        <v>34192.62234278972</v>
      </c>
      <c r="D45" s="361">
        <f>+B45/C45</f>
        <v>1.2509538434246037E-2</v>
      </c>
      <c r="E45" s="366">
        <v>15</v>
      </c>
      <c r="H45" s="266" t="s">
        <v>277</v>
      </c>
      <c r="I45" s="275">
        <v>478.26448369424088</v>
      </c>
      <c r="J45" s="275">
        <v>46736.826091864787</v>
      </c>
      <c r="K45" s="655">
        <f>+I45/J45</f>
        <v>1.0233139981610554E-2</v>
      </c>
      <c r="L45" s="366">
        <v>16</v>
      </c>
      <c r="O45" s="266" t="s">
        <v>277</v>
      </c>
      <c r="P45" s="275">
        <v>456.5158980495267</v>
      </c>
      <c r="Q45" s="275">
        <v>52039.35218511273</v>
      </c>
      <c r="R45" s="655">
        <f>+P45/Q45</f>
        <v>8.7725130863586243E-3</v>
      </c>
      <c r="S45" s="366">
        <v>17</v>
      </c>
      <c r="V45" s="266" t="s">
        <v>277</v>
      </c>
      <c r="W45" s="275">
        <v>547.53511177507744</v>
      </c>
      <c r="X45" s="275">
        <v>65101.152976218538</v>
      </c>
      <c r="Y45" s="655">
        <f>+W45/X45</f>
        <v>8.4105286426354401E-3</v>
      </c>
      <c r="Z45" s="366">
        <v>18</v>
      </c>
      <c r="AC45" s="266" t="s">
        <v>437</v>
      </c>
      <c r="AD45" s="275">
        <v>499.23018343561699</v>
      </c>
      <c r="AE45" s="275">
        <v>67345.715083573479</v>
      </c>
      <c r="AF45" s="661">
        <f>+AD45/AE45</f>
        <v>7.4129465076744859E-3</v>
      </c>
      <c r="AG45" s="366">
        <v>19</v>
      </c>
      <c r="AJ45" s="266" t="s">
        <v>437</v>
      </c>
      <c r="AK45" s="275">
        <v>484.33408149352545</v>
      </c>
      <c r="AL45" s="275">
        <v>60085.886661299308</v>
      </c>
      <c r="AM45" s="661">
        <f>+AK45/AL45</f>
        <v>8.0606962534095373E-3</v>
      </c>
      <c r="AN45" s="366">
        <v>20</v>
      </c>
      <c r="AQ45" s="266" t="s">
        <v>437</v>
      </c>
      <c r="AR45" s="275" t="s">
        <v>149</v>
      </c>
      <c r="AS45" s="275" t="s">
        <v>149</v>
      </c>
      <c r="AT45" s="655" t="s">
        <v>149</v>
      </c>
      <c r="AU45" s="366" t="s">
        <v>149</v>
      </c>
      <c r="AX45" s="266" t="s">
        <v>437</v>
      </c>
      <c r="AY45" s="275">
        <v>427.20551259618554</v>
      </c>
      <c r="AZ45" s="275">
        <v>59746.550251992951</v>
      </c>
      <c r="BA45" s="655">
        <f>+AY45/AZ45</f>
        <v>7.1502958881200906E-3</v>
      </c>
      <c r="BB45" s="366">
        <v>20</v>
      </c>
      <c r="BE45" s="266" t="s">
        <v>437</v>
      </c>
      <c r="BF45" s="650">
        <v>428.70225165549601</v>
      </c>
      <c r="BG45" s="581">
        <v>70730.939092480374</v>
      </c>
      <c r="BH45" s="638">
        <f>+BF45/BG45</f>
        <v>6.0610286977099206E-3</v>
      </c>
      <c r="BI45" s="616">
        <v>23</v>
      </c>
      <c r="BL45" s="266" t="s">
        <v>437</v>
      </c>
      <c r="BM45" s="582" t="s">
        <v>149</v>
      </c>
      <c r="BN45" s="581" t="s">
        <v>149</v>
      </c>
      <c r="BO45" s="638" t="s">
        <v>149</v>
      </c>
      <c r="BP45" s="581" t="s">
        <v>149</v>
      </c>
      <c r="BS45" s="266" t="s">
        <v>437</v>
      </c>
      <c r="BT45" s="582" t="s">
        <v>149</v>
      </c>
      <c r="BU45" s="581" t="s">
        <v>149</v>
      </c>
      <c r="BV45" s="638" t="s">
        <v>149</v>
      </c>
      <c r="BW45" s="581" t="s">
        <v>149</v>
      </c>
      <c r="BZ45" s="266" t="s">
        <v>437</v>
      </c>
      <c r="CA45" s="582" t="s">
        <v>149</v>
      </c>
      <c r="CB45" s="581" t="s">
        <v>149</v>
      </c>
      <c r="CC45" s="638" t="s">
        <v>149</v>
      </c>
      <c r="CD45" s="581" t="s">
        <v>149</v>
      </c>
      <c r="CG45" s="266" t="s">
        <v>437</v>
      </c>
      <c r="CH45" s="365">
        <v>664.55339262501388</v>
      </c>
      <c r="CI45" s="275">
        <v>89878.392553592028</v>
      </c>
      <c r="CJ45" s="638">
        <v>7.3939172001630856E-3</v>
      </c>
      <c r="CK45" s="641">
        <v>27</v>
      </c>
      <c r="CN45" s="266" t="s">
        <v>437</v>
      </c>
      <c r="CO45" s="365">
        <v>476.5803092077108</v>
      </c>
      <c r="CP45" s="605">
        <v>71834.934556920722</v>
      </c>
      <c r="CQ45" s="606">
        <v>6.6343807807060376E-3</v>
      </c>
      <c r="CR45" s="641">
        <v>28</v>
      </c>
      <c r="CU45" s="266" t="s">
        <v>437</v>
      </c>
      <c r="CV45" s="365">
        <v>622.35418700668743</v>
      </c>
      <c r="CW45" s="605">
        <v>106126.01192883399</v>
      </c>
      <c r="CX45" s="606">
        <v>5.8642944900636224E-3</v>
      </c>
      <c r="CY45" s="600">
        <v>29</v>
      </c>
      <c r="CZ45" s="328"/>
      <c r="DB45" s="266" t="s">
        <v>437</v>
      </c>
      <c r="DC45" s="365">
        <v>636.83000000000004</v>
      </c>
      <c r="DD45" s="605">
        <v>105437.03020241272</v>
      </c>
      <c r="DE45" s="606">
        <v>6.0399083583580248E-3</v>
      </c>
      <c r="DF45" s="641">
        <v>30</v>
      </c>
      <c r="DG45" s="675"/>
      <c r="DI45" s="266" t="s">
        <v>437</v>
      </c>
      <c r="DJ45" s="365">
        <v>823.98529135434967</v>
      </c>
      <c r="DK45" s="605">
        <v>140143.31086746001</v>
      </c>
      <c r="DL45" s="606">
        <v>5.8795899999999996E-3</v>
      </c>
      <c r="DM45" s="641">
        <v>31</v>
      </c>
      <c r="DN45" s="675"/>
    </row>
    <row r="46" spans="1:118">
      <c r="A46" s="266" t="s">
        <v>223</v>
      </c>
      <c r="B46" s="275" t="s">
        <v>149</v>
      </c>
      <c r="C46" s="275" t="s">
        <v>149</v>
      </c>
      <c r="D46" s="655" t="s">
        <v>149</v>
      </c>
      <c r="E46" s="366" t="s">
        <v>149</v>
      </c>
      <c r="H46" s="266" t="s">
        <v>223</v>
      </c>
      <c r="I46" s="275" t="s">
        <v>149</v>
      </c>
      <c r="J46" s="275" t="s">
        <v>149</v>
      </c>
      <c r="K46" s="655" t="s">
        <v>149</v>
      </c>
      <c r="L46" s="366" t="s">
        <v>149</v>
      </c>
      <c r="O46" s="266" t="s">
        <v>223</v>
      </c>
      <c r="P46" s="275" t="s">
        <v>149</v>
      </c>
      <c r="Q46" s="275" t="s">
        <v>149</v>
      </c>
      <c r="R46" s="655" t="s">
        <v>149</v>
      </c>
      <c r="S46" s="366" t="s">
        <v>149</v>
      </c>
      <c r="V46" s="266" t="s">
        <v>223</v>
      </c>
      <c r="W46" s="275" t="s">
        <v>149</v>
      </c>
      <c r="X46" s="275" t="s">
        <v>149</v>
      </c>
      <c r="Y46" s="655" t="s">
        <v>149</v>
      </c>
      <c r="Z46" s="366" t="s">
        <v>149</v>
      </c>
      <c r="AC46" s="266" t="s">
        <v>223</v>
      </c>
      <c r="AD46" s="275" t="s">
        <v>149</v>
      </c>
      <c r="AE46" s="275" t="s">
        <v>149</v>
      </c>
      <c r="AF46" s="655" t="s">
        <v>149</v>
      </c>
      <c r="AG46" s="366" t="s">
        <v>149</v>
      </c>
      <c r="AJ46" s="266" t="s">
        <v>223</v>
      </c>
      <c r="AK46" s="275" t="s">
        <v>149</v>
      </c>
      <c r="AL46" s="275" t="s">
        <v>149</v>
      </c>
      <c r="AM46" s="655" t="s">
        <v>149</v>
      </c>
      <c r="AN46" s="366" t="s">
        <v>149</v>
      </c>
      <c r="AQ46" s="266" t="s">
        <v>223</v>
      </c>
      <c r="AR46" s="582" t="s">
        <v>149</v>
      </c>
      <c r="AS46" s="581" t="s">
        <v>149</v>
      </c>
      <c r="AT46" s="646" t="s">
        <v>149</v>
      </c>
      <c r="AU46" s="581" t="s">
        <v>149</v>
      </c>
      <c r="AX46" s="266" t="s">
        <v>223</v>
      </c>
      <c r="AY46" s="582" t="s">
        <v>149</v>
      </c>
      <c r="AZ46" s="581" t="s">
        <v>149</v>
      </c>
      <c r="BA46" s="646" t="s">
        <v>149</v>
      </c>
      <c r="BB46" s="581" t="s">
        <v>149</v>
      </c>
      <c r="BE46" s="266" t="s">
        <v>223</v>
      </c>
      <c r="BF46" s="650" t="s">
        <v>149</v>
      </c>
      <c r="BG46" s="581" t="s">
        <v>149</v>
      </c>
      <c r="BH46" s="638" t="s">
        <v>149</v>
      </c>
      <c r="BI46" s="581" t="s">
        <v>149</v>
      </c>
      <c r="BL46" s="266" t="s">
        <v>223</v>
      </c>
      <c r="BM46" s="582" t="s">
        <v>149</v>
      </c>
      <c r="BN46" s="581" t="s">
        <v>149</v>
      </c>
      <c r="BO46" s="638" t="s">
        <v>149</v>
      </c>
      <c r="BP46" s="581" t="s">
        <v>149</v>
      </c>
      <c r="BS46" s="266" t="s">
        <v>223</v>
      </c>
      <c r="BT46" s="582" t="s">
        <v>149</v>
      </c>
      <c r="BU46" s="581" t="s">
        <v>149</v>
      </c>
      <c r="BV46" s="638" t="s">
        <v>149</v>
      </c>
      <c r="BW46" s="581" t="s">
        <v>149</v>
      </c>
      <c r="BZ46" s="266" t="s">
        <v>223</v>
      </c>
      <c r="CA46" s="582" t="s">
        <v>149</v>
      </c>
      <c r="CB46" s="581" t="s">
        <v>149</v>
      </c>
      <c r="CC46" s="644" t="s">
        <v>149</v>
      </c>
      <c r="CD46" s="581" t="s">
        <v>149</v>
      </c>
      <c r="CG46" s="266" t="s">
        <v>223</v>
      </c>
      <c r="CH46" s="582" t="s">
        <v>149</v>
      </c>
      <c r="CI46" s="581" t="s">
        <v>149</v>
      </c>
      <c r="CJ46" s="642" t="s">
        <v>149</v>
      </c>
      <c r="CK46" s="581" t="s">
        <v>149</v>
      </c>
      <c r="CN46" s="266" t="s">
        <v>223</v>
      </c>
      <c r="CO46" s="582" t="s">
        <v>149</v>
      </c>
      <c r="CP46" s="582" t="s">
        <v>149</v>
      </c>
      <c r="CQ46" s="582" t="s">
        <v>149</v>
      </c>
      <c r="CR46" s="581" t="s">
        <v>149</v>
      </c>
      <c r="CU46" s="266" t="s">
        <v>223</v>
      </c>
      <c r="CV46" s="582" t="s">
        <v>149</v>
      </c>
      <c r="CW46" s="582" t="s">
        <v>149</v>
      </c>
      <c r="CX46" s="582" t="s">
        <v>149</v>
      </c>
      <c r="CY46" s="582" t="s">
        <v>149</v>
      </c>
      <c r="CZ46" s="328"/>
      <c r="DB46" s="266" t="s">
        <v>223</v>
      </c>
      <c r="DC46" s="582" t="s">
        <v>149</v>
      </c>
      <c r="DD46" s="582" t="s">
        <v>149</v>
      </c>
      <c r="DE46" s="582" t="s">
        <v>149</v>
      </c>
      <c r="DF46" s="581" t="s">
        <v>149</v>
      </c>
      <c r="DI46" s="266" t="s">
        <v>223</v>
      </c>
      <c r="DJ46" s="582" t="s">
        <v>149</v>
      </c>
      <c r="DK46" s="582" t="s">
        <v>149</v>
      </c>
      <c r="DL46" s="582" t="s">
        <v>149</v>
      </c>
      <c r="DM46" s="581" t="s">
        <v>149</v>
      </c>
      <c r="DN46" s="328"/>
    </row>
    <row r="47" spans="1:118">
      <c r="A47" s="266" t="s">
        <v>6</v>
      </c>
      <c r="B47" s="275" t="s">
        <v>149</v>
      </c>
      <c r="C47" s="275" t="s">
        <v>149</v>
      </c>
      <c r="D47" s="655" t="s">
        <v>149</v>
      </c>
      <c r="E47" s="366">
        <v>11</v>
      </c>
      <c r="H47" s="266" t="s">
        <v>6</v>
      </c>
      <c r="I47" s="275" t="s">
        <v>149</v>
      </c>
      <c r="J47" s="275" t="s">
        <v>149</v>
      </c>
      <c r="K47" s="655" t="s">
        <v>149</v>
      </c>
      <c r="L47" s="366">
        <v>12</v>
      </c>
      <c r="O47" s="266" t="s">
        <v>6</v>
      </c>
      <c r="P47" s="275" t="s">
        <v>149</v>
      </c>
      <c r="Q47" s="275" t="s">
        <v>149</v>
      </c>
      <c r="R47" s="655" t="s">
        <v>149</v>
      </c>
      <c r="S47" s="366" t="s">
        <v>149</v>
      </c>
      <c r="V47" s="266" t="s">
        <v>6</v>
      </c>
      <c r="W47" s="275" t="s">
        <v>149</v>
      </c>
      <c r="X47" s="275" t="s">
        <v>149</v>
      </c>
      <c r="Y47" s="655" t="s">
        <v>149</v>
      </c>
      <c r="Z47" s="366">
        <v>14</v>
      </c>
      <c r="AC47" s="266" t="s">
        <v>6</v>
      </c>
      <c r="AD47" s="276">
        <v>55.455103219999998</v>
      </c>
      <c r="AE47" s="276">
        <v>7128.1818290824995</v>
      </c>
      <c r="AF47" s="661">
        <f>+AD47/AE47</f>
        <v>7.7796981824659588E-3</v>
      </c>
      <c r="AG47" s="276">
        <v>15</v>
      </c>
      <c r="AJ47" s="266" t="s">
        <v>6</v>
      </c>
      <c r="AK47" s="276">
        <v>60.618748199999999</v>
      </c>
      <c r="AL47" s="276">
        <v>7702.5109869749986</v>
      </c>
      <c r="AM47" s="661">
        <f>AK47/AL47</f>
        <v>7.8699982775106373E-3</v>
      </c>
      <c r="AN47" s="276">
        <v>16</v>
      </c>
      <c r="AQ47" s="266" t="s">
        <v>6</v>
      </c>
      <c r="AR47" s="276">
        <v>67.169262239999995</v>
      </c>
      <c r="AS47" s="276">
        <v>8316.8777281858329</v>
      </c>
      <c r="AT47" s="655">
        <f>AR47/AS47</f>
        <v>8.0762594371640087E-3</v>
      </c>
      <c r="AU47" s="276">
        <v>17</v>
      </c>
      <c r="AX47" s="266" t="s">
        <v>6</v>
      </c>
      <c r="AY47" s="276">
        <v>74.023880719999994</v>
      </c>
      <c r="AZ47" s="276">
        <v>8958.1751952866671</v>
      </c>
      <c r="BA47" s="655">
        <f>+AY47/AZ47</f>
        <v>8.2632767395470867E-3</v>
      </c>
      <c r="BB47" s="276">
        <v>18</v>
      </c>
      <c r="BE47" s="266" t="s">
        <v>6</v>
      </c>
      <c r="BF47" s="355">
        <v>79.308462000000006</v>
      </c>
      <c r="BG47" s="351">
        <v>9684.6868572033327</v>
      </c>
      <c r="BH47" s="644">
        <f>+BF47/BG47</f>
        <v>8.1890579601973917E-3</v>
      </c>
      <c r="BI47" s="351">
        <v>19</v>
      </c>
      <c r="BL47" s="266" t="s">
        <v>6</v>
      </c>
      <c r="BM47" s="351">
        <v>76.166829000000007</v>
      </c>
      <c r="BN47" s="351">
        <v>10415.349238304167</v>
      </c>
      <c r="BO47" s="644">
        <f>BM47/BN47</f>
        <v>7.3129404744186506E-3</v>
      </c>
      <c r="BP47" s="351">
        <v>20</v>
      </c>
      <c r="BS47" s="266" t="s">
        <v>6</v>
      </c>
      <c r="BT47" s="351">
        <v>72.371891000000005</v>
      </c>
      <c r="BU47" s="351">
        <v>11126.901484710834</v>
      </c>
      <c r="BV47" s="644">
        <f>BT47/BU47</f>
        <v>6.504226814575847E-3</v>
      </c>
      <c r="BW47" s="351">
        <v>21</v>
      </c>
      <c r="BZ47" s="266" t="s">
        <v>6</v>
      </c>
      <c r="CA47" s="351">
        <v>64.02883700000001</v>
      </c>
      <c r="CB47" s="351">
        <v>11723.579561633333</v>
      </c>
      <c r="CC47" s="644">
        <f>CA47/CB47</f>
        <v>5.4615432652959702E-3</v>
      </c>
      <c r="CD47" s="351">
        <v>22</v>
      </c>
      <c r="CG47" s="266" t="s">
        <v>6</v>
      </c>
      <c r="CH47" s="365">
        <v>67.39</v>
      </c>
      <c r="CI47" s="275">
        <v>12449</v>
      </c>
      <c r="CJ47" s="644">
        <f>CH47/CI47</f>
        <v>5.4132862077275285E-3</v>
      </c>
      <c r="CK47" s="641">
        <v>24</v>
      </c>
      <c r="CN47" s="266" t="s">
        <v>6</v>
      </c>
      <c r="CO47" s="582" t="s">
        <v>149</v>
      </c>
      <c r="CP47" s="582" t="s">
        <v>149</v>
      </c>
      <c r="CQ47" s="582" t="s">
        <v>149</v>
      </c>
      <c r="CR47" s="581" t="s">
        <v>149</v>
      </c>
      <c r="CU47" s="266" t="s">
        <v>6</v>
      </c>
      <c r="CV47" s="582" t="s">
        <v>149</v>
      </c>
      <c r="CW47" s="582" t="s">
        <v>149</v>
      </c>
      <c r="CX47" s="582" t="s">
        <v>149</v>
      </c>
      <c r="CY47" s="582" t="s">
        <v>149</v>
      </c>
      <c r="CZ47" s="328"/>
      <c r="DB47" s="266" t="s">
        <v>6</v>
      </c>
      <c r="DC47" s="582" t="s">
        <v>149</v>
      </c>
      <c r="DD47" s="582" t="s">
        <v>149</v>
      </c>
      <c r="DE47" s="582" t="s">
        <v>149</v>
      </c>
      <c r="DF47" s="581" t="s">
        <v>149</v>
      </c>
      <c r="DI47" s="266" t="s">
        <v>6</v>
      </c>
      <c r="DJ47" s="582" t="s">
        <v>149</v>
      </c>
      <c r="DK47" s="582" t="s">
        <v>149</v>
      </c>
      <c r="DL47" s="582" t="s">
        <v>149</v>
      </c>
      <c r="DM47" s="581" t="s">
        <v>149</v>
      </c>
      <c r="DN47" s="328"/>
    </row>
    <row r="48" spans="1:118" ht="17.25">
      <c r="A48" s="266" t="s">
        <v>224</v>
      </c>
      <c r="B48" s="275" t="s">
        <v>149</v>
      </c>
      <c r="C48" s="275" t="s">
        <v>149</v>
      </c>
      <c r="D48" s="655" t="s">
        <v>149</v>
      </c>
      <c r="E48" s="366" t="s">
        <v>149</v>
      </c>
      <c r="H48" s="266" t="s">
        <v>224</v>
      </c>
      <c r="I48" s="275" t="s">
        <v>149</v>
      </c>
      <c r="J48" s="275" t="s">
        <v>149</v>
      </c>
      <c r="K48" s="655" t="s">
        <v>149</v>
      </c>
      <c r="L48" s="366" t="s">
        <v>149</v>
      </c>
      <c r="O48" s="266" t="s">
        <v>224</v>
      </c>
      <c r="P48" s="308">
        <v>1496.645784849723</v>
      </c>
      <c r="Q48" s="308">
        <v>104891.75783296088</v>
      </c>
      <c r="R48" s="655">
        <f>+P48/Q48</f>
        <v>1.4268478436915101E-2</v>
      </c>
      <c r="S48" s="367">
        <v>14</v>
      </c>
      <c r="V48" s="266" t="s">
        <v>224</v>
      </c>
      <c r="W48" s="308">
        <v>1761.6156528043007</v>
      </c>
      <c r="X48" s="308">
        <v>133809.78905771929</v>
      </c>
      <c r="Y48" s="655">
        <f>+W48/X48</f>
        <v>1.316507308777254E-2</v>
      </c>
      <c r="Z48" s="367">
        <v>15</v>
      </c>
      <c r="AC48" s="266" t="s">
        <v>438</v>
      </c>
      <c r="AD48" s="277">
        <v>1820.0855104499283</v>
      </c>
      <c r="AE48" s="308">
        <v>150115.35690057918</v>
      </c>
      <c r="AF48" s="661">
        <f>+AD48/AE48</f>
        <v>1.2124579043937283E-2</v>
      </c>
      <c r="AG48" s="367">
        <v>16</v>
      </c>
      <c r="AJ48" s="266" t="s">
        <v>438</v>
      </c>
      <c r="AK48" s="277">
        <v>1691.5727904839434</v>
      </c>
      <c r="AL48" s="308">
        <v>149009.13440766651</v>
      </c>
      <c r="AM48" s="661">
        <f>AK48/AL48</f>
        <v>1.1352141579831311E-2</v>
      </c>
      <c r="AN48" s="367">
        <v>17</v>
      </c>
      <c r="AQ48" s="266" t="s">
        <v>438</v>
      </c>
      <c r="AR48" s="277">
        <v>1520.6598415787855</v>
      </c>
      <c r="AS48" s="308">
        <v>141940.9824873535</v>
      </c>
      <c r="AT48" s="655">
        <f>AR48/AS48</f>
        <v>1.0713324756042687E-2</v>
      </c>
      <c r="AU48" s="367">
        <v>18</v>
      </c>
      <c r="AX48" s="266" t="s">
        <v>438</v>
      </c>
      <c r="AY48" s="277">
        <v>1310.8020631560569</v>
      </c>
      <c r="AZ48" s="308">
        <v>128451.59179345891</v>
      </c>
      <c r="BA48" s="655">
        <f>+AY48/AZ48</f>
        <v>1.0204638532340915E-2</v>
      </c>
      <c r="BB48" s="367">
        <v>18</v>
      </c>
      <c r="BE48" s="266" t="s">
        <v>438</v>
      </c>
      <c r="BF48" s="651">
        <v>1483.834717416556</v>
      </c>
      <c r="BG48" s="308">
        <v>149013.82001589134</v>
      </c>
      <c r="BH48" s="644">
        <f>BF48/BG48</f>
        <v>9.9576986702194122E-3</v>
      </c>
      <c r="BI48" s="367">
        <v>20</v>
      </c>
      <c r="BL48" s="266" t="s">
        <v>438</v>
      </c>
      <c r="BM48" s="277">
        <v>1635.2762713076047</v>
      </c>
      <c r="BN48" s="308">
        <v>163916.46008950777</v>
      </c>
      <c r="BO48" s="644">
        <f>BM48/BN48</f>
        <v>9.9762785898051369E-3</v>
      </c>
      <c r="BP48" s="367">
        <v>21</v>
      </c>
      <c r="BS48" s="266" t="s">
        <v>438</v>
      </c>
      <c r="BT48" s="277">
        <v>1809.0051695359462</v>
      </c>
      <c r="BU48" s="308">
        <v>191635.88713619194</v>
      </c>
      <c r="BV48" s="644">
        <f>BT48/BU48</f>
        <v>9.4398037683323943E-3</v>
      </c>
      <c r="BW48" s="367">
        <v>22</v>
      </c>
      <c r="BZ48" s="266" t="s">
        <v>438</v>
      </c>
      <c r="CA48" s="277">
        <v>1843.219772915359</v>
      </c>
      <c r="CB48" s="308">
        <v>210388.68886586127</v>
      </c>
      <c r="CC48" s="638">
        <f>CA48/CB48</f>
        <v>8.7610212452559708E-3</v>
      </c>
      <c r="CD48" s="367">
        <v>23</v>
      </c>
      <c r="CG48" s="266" t="s">
        <v>438</v>
      </c>
      <c r="CH48" s="365">
        <v>1859.7228035368789</v>
      </c>
      <c r="CI48" s="275">
        <v>236185.52729218657</v>
      </c>
      <c r="CJ48" s="638">
        <f>CH48/CI48</f>
        <v>7.8739913696583303E-3</v>
      </c>
      <c r="CK48" s="641">
        <v>24</v>
      </c>
      <c r="CN48" s="266" t="s">
        <v>438</v>
      </c>
      <c r="CO48" s="365">
        <v>1406.2656618288268</v>
      </c>
      <c r="CP48" s="275">
        <v>252763.56059480127</v>
      </c>
      <c r="CQ48" s="638">
        <v>0.55635616879253214</v>
      </c>
      <c r="CR48" s="641">
        <v>24</v>
      </c>
      <c r="CU48" s="266" t="s">
        <v>438</v>
      </c>
      <c r="CV48" s="365">
        <v>1735.98572987647</v>
      </c>
      <c r="CW48" s="275">
        <v>316385.69336051866</v>
      </c>
      <c r="CX48" s="638">
        <f>CV48/CW48</f>
        <v>5.4869286643069847E-3</v>
      </c>
      <c r="CY48" s="600">
        <v>25</v>
      </c>
      <c r="CZ48" s="328"/>
      <c r="DB48" s="266" t="s">
        <v>438</v>
      </c>
      <c r="DC48" s="365">
        <v>1622.43168550673</v>
      </c>
      <c r="DD48" s="275">
        <v>296247.16993294179</v>
      </c>
      <c r="DE48" s="638">
        <v>0.54766149694323896</v>
      </c>
      <c r="DF48" s="641">
        <v>27</v>
      </c>
      <c r="DI48" s="266" t="s">
        <v>438</v>
      </c>
      <c r="DJ48" s="365">
        <v>2151.4623374563917</v>
      </c>
      <c r="DK48" s="275">
        <v>407521.97802109562</v>
      </c>
      <c r="DL48" s="638">
        <v>0.52793774409512206</v>
      </c>
      <c r="DM48" s="641">
        <v>28</v>
      </c>
      <c r="DN48" s="328"/>
    </row>
    <row r="49" spans="1:118">
      <c r="A49" s="266" t="s">
        <v>184</v>
      </c>
      <c r="B49" s="275" t="s">
        <v>149</v>
      </c>
      <c r="C49" s="275" t="s">
        <v>149</v>
      </c>
      <c r="D49" s="655" t="s">
        <v>149</v>
      </c>
      <c r="E49" s="366" t="s">
        <v>149</v>
      </c>
      <c r="H49" s="266" t="s">
        <v>184</v>
      </c>
      <c r="I49" s="275" t="s">
        <v>149</v>
      </c>
      <c r="J49" s="275" t="s">
        <v>149</v>
      </c>
      <c r="K49" s="655" t="s">
        <v>149</v>
      </c>
      <c r="L49" s="366" t="s">
        <v>149</v>
      </c>
      <c r="O49" s="266" t="s">
        <v>184</v>
      </c>
      <c r="P49" s="275" t="s">
        <v>149</v>
      </c>
      <c r="Q49" s="275" t="s">
        <v>149</v>
      </c>
      <c r="R49" s="655" t="s">
        <v>149</v>
      </c>
      <c r="S49" s="366" t="s">
        <v>149</v>
      </c>
      <c r="V49" s="266" t="s">
        <v>184</v>
      </c>
      <c r="W49" s="275" t="s">
        <v>149</v>
      </c>
      <c r="X49" s="275" t="s">
        <v>149</v>
      </c>
      <c r="Y49" s="655" t="s">
        <v>149</v>
      </c>
      <c r="Z49" s="366" t="s">
        <v>149</v>
      </c>
      <c r="AC49" s="266" t="s">
        <v>184</v>
      </c>
      <c r="AD49" s="275" t="s">
        <v>149</v>
      </c>
      <c r="AE49" s="275" t="s">
        <v>149</v>
      </c>
      <c r="AF49" s="655" t="s">
        <v>149</v>
      </c>
      <c r="AG49" s="366" t="s">
        <v>149</v>
      </c>
      <c r="AJ49" s="266" t="s">
        <v>184</v>
      </c>
      <c r="AK49" s="367" t="s">
        <v>149</v>
      </c>
      <c r="AL49" s="367" t="s">
        <v>149</v>
      </c>
      <c r="AM49" s="662" t="s">
        <v>149</v>
      </c>
      <c r="AN49" s="367" t="s">
        <v>149</v>
      </c>
      <c r="AQ49" s="266" t="s">
        <v>184</v>
      </c>
      <c r="AR49" s="582" t="s">
        <v>149</v>
      </c>
      <c r="AS49" s="581" t="s">
        <v>149</v>
      </c>
      <c r="AT49" s="646" t="s">
        <v>149</v>
      </c>
      <c r="AU49" s="581" t="s">
        <v>149</v>
      </c>
      <c r="AX49" s="266" t="s">
        <v>184</v>
      </c>
      <c r="AY49" s="582" t="s">
        <v>149</v>
      </c>
      <c r="AZ49" s="581" t="s">
        <v>149</v>
      </c>
      <c r="BA49" s="646" t="s">
        <v>149</v>
      </c>
      <c r="BB49" s="581" t="s">
        <v>149</v>
      </c>
      <c r="BE49" s="266" t="s">
        <v>184</v>
      </c>
      <c r="BF49" s="650" t="s">
        <v>149</v>
      </c>
      <c r="BG49" s="581" t="s">
        <v>149</v>
      </c>
      <c r="BH49" s="638" t="s">
        <v>149</v>
      </c>
      <c r="BI49" s="581" t="s">
        <v>149</v>
      </c>
      <c r="BL49" s="266" t="s">
        <v>184</v>
      </c>
      <c r="BM49" s="582" t="s">
        <v>149</v>
      </c>
      <c r="BN49" s="581" t="s">
        <v>149</v>
      </c>
      <c r="BO49" s="638" t="s">
        <v>149</v>
      </c>
      <c r="BP49" s="581" t="s">
        <v>149</v>
      </c>
      <c r="BS49" s="266" t="s">
        <v>184</v>
      </c>
      <c r="BT49" s="582" t="s">
        <v>149</v>
      </c>
      <c r="BU49" s="581" t="s">
        <v>149</v>
      </c>
      <c r="BV49" s="638" t="s">
        <v>149</v>
      </c>
      <c r="BW49" s="581" t="s">
        <v>149</v>
      </c>
      <c r="BZ49" s="266" t="s">
        <v>184</v>
      </c>
      <c r="CA49" s="582" t="s">
        <v>149</v>
      </c>
      <c r="CB49" s="581" t="s">
        <v>149</v>
      </c>
      <c r="CC49" s="644" t="s">
        <v>149</v>
      </c>
      <c r="CD49" s="581" t="s">
        <v>149</v>
      </c>
      <c r="CG49" s="266" t="s">
        <v>184</v>
      </c>
      <c r="CH49" s="582" t="s">
        <v>149</v>
      </c>
      <c r="CI49" s="581" t="s">
        <v>149</v>
      </c>
      <c r="CJ49" s="642" t="s">
        <v>149</v>
      </c>
      <c r="CK49" s="581" t="s">
        <v>149</v>
      </c>
      <c r="CN49" s="266" t="s">
        <v>184</v>
      </c>
      <c r="CO49" s="582" t="s">
        <v>149</v>
      </c>
      <c r="CP49" s="582" t="s">
        <v>149</v>
      </c>
      <c r="CQ49" s="582" t="s">
        <v>149</v>
      </c>
      <c r="CR49" s="581" t="s">
        <v>149</v>
      </c>
      <c r="CU49" s="266" t="s">
        <v>184</v>
      </c>
      <c r="CV49" s="582" t="s">
        <v>149</v>
      </c>
      <c r="CW49" s="582" t="s">
        <v>149</v>
      </c>
      <c r="CX49" s="582" t="s">
        <v>149</v>
      </c>
      <c r="CY49" s="582" t="s">
        <v>149</v>
      </c>
      <c r="CZ49" s="328"/>
      <c r="DB49" s="266" t="s">
        <v>184</v>
      </c>
      <c r="DC49" s="582" t="s">
        <v>149</v>
      </c>
      <c r="DD49" s="582" t="s">
        <v>149</v>
      </c>
      <c r="DE49" s="582" t="s">
        <v>149</v>
      </c>
      <c r="DF49" s="581" t="s">
        <v>149</v>
      </c>
      <c r="DI49" s="266" t="s">
        <v>184</v>
      </c>
      <c r="DJ49" s="582" t="s">
        <v>149</v>
      </c>
      <c r="DK49" s="582" t="s">
        <v>149</v>
      </c>
      <c r="DL49" s="582" t="s">
        <v>149</v>
      </c>
      <c r="DM49" s="581" t="s">
        <v>149</v>
      </c>
      <c r="DN49" s="328"/>
    </row>
    <row r="50" spans="1:118">
      <c r="A50" s="266" t="s">
        <v>8</v>
      </c>
      <c r="B50" s="275" t="s">
        <v>149</v>
      </c>
      <c r="C50" s="275">
        <v>24008.133372772962</v>
      </c>
      <c r="D50" s="361">
        <v>0</v>
      </c>
      <c r="E50" s="367">
        <v>15</v>
      </c>
      <c r="H50" s="266" t="s">
        <v>8</v>
      </c>
      <c r="I50" s="275">
        <v>301.45156519757921</v>
      </c>
      <c r="J50" s="275">
        <v>31110.334708525043</v>
      </c>
      <c r="K50" s="655">
        <f>+I50/J50</f>
        <v>9.6897564112344188E-3</v>
      </c>
      <c r="L50" s="367">
        <v>16</v>
      </c>
      <c r="O50" s="266" t="s">
        <v>8</v>
      </c>
      <c r="P50" s="275">
        <v>361.80171636498517</v>
      </c>
      <c r="Q50" s="275">
        <v>30371.462655579766</v>
      </c>
      <c r="R50" s="655">
        <f>+P50/Q50</f>
        <v>1.1912554902867542E-2</v>
      </c>
      <c r="S50" s="367">
        <v>17</v>
      </c>
      <c r="V50" s="266" t="s">
        <v>8</v>
      </c>
      <c r="W50" s="275">
        <v>436.90070154178107</v>
      </c>
      <c r="X50" s="275">
        <v>37966.706386860082</v>
      </c>
      <c r="Y50" s="655">
        <f>+W50/X50</f>
        <v>1.1507469125449034E-2</v>
      </c>
      <c r="Z50" s="367">
        <v>18</v>
      </c>
      <c r="AC50" s="266" t="s">
        <v>8</v>
      </c>
      <c r="AD50" s="366">
        <v>420.52071469051879</v>
      </c>
      <c r="AE50" s="275">
        <v>36521.375780441784</v>
      </c>
      <c r="AF50" s="661">
        <f>+AD50/AE50</f>
        <v>1.1514372219124323E-2</v>
      </c>
      <c r="AG50" s="367">
        <v>19</v>
      </c>
      <c r="AJ50" s="266" t="s">
        <v>8</v>
      </c>
      <c r="AK50" s="366">
        <v>383.75690472641821</v>
      </c>
      <c r="AL50" s="275">
        <v>38436.890606337111</v>
      </c>
      <c r="AM50" s="661">
        <f>AK50/AL50</f>
        <v>9.984077761564512E-3</v>
      </c>
      <c r="AN50" s="367">
        <v>20</v>
      </c>
      <c r="AQ50" s="266" t="s">
        <v>8</v>
      </c>
      <c r="AR50" s="614">
        <v>378.87511091007565</v>
      </c>
      <c r="AS50" s="581">
        <v>36103.916118802881</v>
      </c>
      <c r="AT50" s="646">
        <f>AR50/AS50</f>
        <v>1.0494017038577094E-2</v>
      </c>
      <c r="AU50" s="616">
        <v>22</v>
      </c>
      <c r="AX50" s="266" t="s">
        <v>363</v>
      </c>
      <c r="AY50" s="582" t="s">
        <v>149</v>
      </c>
      <c r="AZ50" s="581" t="s">
        <v>149</v>
      </c>
      <c r="BA50" s="646" t="s">
        <v>149</v>
      </c>
      <c r="BB50" s="581" t="s">
        <v>149</v>
      </c>
      <c r="BE50" s="266" t="s">
        <v>363</v>
      </c>
      <c r="BF50" s="650" t="s">
        <v>149</v>
      </c>
      <c r="BG50" s="581" t="s">
        <v>149</v>
      </c>
      <c r="BH50" s="638" t="s">
        <v>149</v>
      </c>
      <c r="BI50" s="581" t="s">
        <v>149</v>
      </c>
      <c r="BL50" s="266" t="s">
        <v>363</v>
      </c>
      <c r="BM50" s="582" t="s">
        <v>149</v>
      </c>
      <c r="BN50" s="581" t="s">
        <v>149</v>
      </c>
      <c r="BO50" s="638" t="s">
        <v>149</v>
      </c>
      <c r="BP50" s="581" t="s">
        <v>149</v>
      </c>
      <c r="BS50" s="266" t="s">
        <v>363</v>
      </c>
      <c r="BT50" s="582" t="s">
        <v>149</v>
      </c>
      <c r="BU50" s="581" t="s">
        <v>149</v>
      </c>
      <c r="BV50" s="638" t="s">
        <v>149</v>
      </c>
      <c r="BW50" s="581" t="s">
        <v>149</v>
      </c>
      <c r="BZ50" s="266" t="s">
        <v>363</v>
      </c>
      <c r="CA50" s="582" t="s">
        <v>149</v>
      </c>
      <c r="CB50" s="581" t="s">
        <v>149</v>
      </c>
      <c r="CC50" s="644" t="s">
        <v>149</v>
      </c>
      <c r="CD50" s="581" t="s">
        <v>149</v>
      </c>
      <c r="CG50" s="266" t="s">
        <v>363</v>
      </c>
      <c r="CH50" s="582" t="s">
        <v>149</v>
      </c>
      <c r="CI50" s="581" t="s">
        <v>149</v>
      </c>
      <c r="CJ50" s="642" t="s">
        <v>149</v>
      </c>
      <c r="CK50" s="581" t="s">
        <v>149</v>
      </c>
      <c r="CN50" s="266" t="s">
        <v>363</v>
      </c>
      <c r="CO50" s="582" t="s">
        <v>149</v>
      </c>
      <c r="CP50" s="582" t="s">
        <v>149</v>
      </c>
      <c r="CQ50" s="582" t="s">
        <v>149</v>
      </c>
      <c r="CR50" s="581" t="s">
        <v>149</v>
      </c>
      <c r="CU50" s="266" t="s">
        <v>363</v>
      </c>
      <c r="CV50" s="582" t="s">
        <v>149</v>
      </c>
      <c r="CW50" s="582" t="s">
        <v>149</v>
      </c>
      <c r="CX50" s="582" t="s">
        <v>149</v>
      </c>
      <c r="CY50" s="582" t="s">
        <v>149</v>
      </c>
      <c r="CZ50" s="328"/>
      <c r="DB50" s="266" t="s">
        <v>363</v>
      </c>
      <c r="DC50" s="582" t="s">
        <v>149</v>
      </c>
      <c r="DD50" s="582" t="s">
        <v>149</v>
      </c>
      <c r="DE50" s="582" t="s">
        <v>149</v>
      </c>
      <c r="DF50" s="581" t="s">
        <v>149</v>
      </c>
      <c r="DI50" s="266" t="s">
        <v>363</v>
      </c>
      <c r="DJ50" s="582" t="s">
        <v>149</v>
      </c>
      <c r="DK50" s="582" t="s">
        <v>149</v>
      </c>
      <c r="DL50" s="582" t="s">
        <v>149</v>
      </c>
      <c r="DM50" s="581" t="s">
        <v>149</v>
      </c>
      <c r="DN50" s="328"/>
    </row>
    <row r="51" spans="1:118">
      <c r="A51" s="266" t="s">
        <v>225</v>
      </c>
      <c r="B51" s="275" t="s">
        <v>149</v>
      </c>
      <c r="C51" s="275" t="s">
        <v>149</v>
      </c>
      <c r="D51" s="655" t="s">
        <v>149</v>
      </c>
      <c r="E51" s="366" t="s">
        <v>149</v>
      </c>
      <c r="H51" s="266" t="s">
        <v>225</v>
      </c>
      <c r="I51" s="275" t="s">
        <v>149</v>
      </c>
      <c r="J51" s="275" t="s">
        <v>149</v>
      </c>
      <c r="K51" s="655" t="s">
        <v>149</v>
      </c>
      <c r="L51" s="366" t="s">
        <v>149</v>
      </c>
      <c r="O51" s="266" t="s">
        <v>225</v>
      </c>
      <c r="P51" s="660">
        <v>25.882846587033139</v>
      </c>
      <c r="Q51" s="275">
        <v>1997.0571155507189</v>
      </c>
      <c r="R51" s="655">
        <f>+P51/Q51</f>
        <v>1.2960493911510163E-2</v>
      </c>
      <c r="S51" s="367">
        <v>10</v>
      </c>
      <c r="V51" s="266" t="s">
        <v>225</v>
      </c>
      <c r="W51" s="660">
        <v>27.554739659723346</v>
      </c>
      <c r="X51" s="275">
        <v>2360.9798698453583</v>
      </c>
      <c r="Y51" s="655">
        <f>+W51/X51</f>
        <v>1.1670891400496418E-2</v>
      </c>
      <c r="Z51" s="367">
        <v>11</v>
      </c>
      <c r="AC51" s="266" t="s">
        <v>225</v>
      </c>
      <c r="AD51" s="660">
        <v>28.632754623372822</v>
      </c>
      <c r="AE51" s="275">
        <v>2684.8891010043003</v>
      </c>
      <c r="AF51" s="661">
        <f>+AD51/AE51</f>
        <v>1.0664408676195435E-2</v>
      </c>
      <c r="AG51" s="367">
        <v>12</v>
      </c>
      <c r="AJ51" s="266" t="s">
        <v>225</v>
      </c>
      <c r="AK51" s="660">
        <v>31.032892259675975</v>
      </c>
      <c r="AL51" s="275">
        <v>3088.6756190951633</v>
      </c>
      <c r="AM51" s="661">
        <f>AK51/AL51</f>
        <v>1.0047313504798264E-2</v>
      </c>
      <c r="AN51" s="367">
        <v>13</v>
      </c>
      <c r="AQ51" s="266" t="s">
        <v>225</v>
      </c>
      <c r="AR51" s="278">
        <v>33.719301696814561</v>
      </c>
      <c r="AS51" s="653" t="s">
        <v>149</v>
      </c>
      <c r="AT51" s="655" t="s">
        <v>149</v>
      </c>
      <c r="AU51" s="367" t="s">
        <v>149</v>
      </c>
      <c r="AX51" s="266" t="s">
        <v>8</v>
      </c>
      <c r="AY51" s="278">
        <v>366.48499892521045</v>
      </c>
      <c r="AZ51" s="653">
        <v>40285.603265135767</v>
      </c>
      <c r="BA51" s="655">
        <f>+AY51/AZ51</f>
        <v>9.0971704336466098E-3</v>
      </c>
      <c r="BB51" s="367">
        <v>23</v>
      </c>
      <c r="BE51" s="266" t="s">
        <v>8</v>
      </c>
      <c r="BF51" s="355">
        <v>377.77307086499798</v>
      </c>
      <c r="BG51" s="351">
        <v>47849.068887053603</v>
      </c>
      <c r="BH51" s="644">
        <f>+BF51/BG51</f>
        <v>7.8950976403892158E-3</v>
      </c>
      <c r="BI51" s="351">
        <v>24</v>
      </c>
      <c r="BL51" s="266" t="s">
        <v>8</v>
      </c>
      <c r="BM51" s="351">
        <v>384.15783684692673</v>
      </c>
      <c r="BN51" s="351">
        <v>44938</v>
      </c>
      <c r="BO51" s="644">
        <f>BM51/BN51</f>
        <v>8.5486189159937401E-3</v>
      </c>
      <c r="BP51" s="351">
        <v>25</v>
      </c>
      <c r="BS51" s="266" t="s">
        <v>8</v>
      </c>
      <c r="BT51" s="351">
        <v>387.26076598204668</v>
      </c>
      <c r="BU51" s="351">
        <v>52349.049212141646</v>
      </c>
      <c r="BV51" s="644">
        <f>BT51/BU51</f>
        <v>7.3976657037779937E-3</v>
      </c>
      <c r="BW51" s="351">
        <v>26</v>
      </c>
      <c r="BZ51" s="266" t="s">
        <v>8</v>
      </c>
      <c r="CA51" s="351">
        <v>318.89966647702096</v>
      </c>
      <c r="CB51" s="351">
        <v>45143.350950528584</v>
      </c>
      <c r="CC51" s="644">
        <f>CA51/CB51</f>
        <v>7.0641558449326177E-3</v>
      </c>
      <c r="CD51" s="351">
        <v>27</v>
      </c>
      <c r="CG51" s="266" t="s">
        <v>8</v>
      </c>
      <c r="CH51" s="365">
        <v>318.89966647702096</v>
      </c>
      <c r="CI51" s="275">
        <v>45143.350950528584</v>
      </c>
      <c r="CJ51" s="644">
        <f>CH51/CI51</f>
        <v>7.0641558449326177E-3</v>
      </c>
      <c r="CK51" s="641">
        <v>27</v>
      </c>
      <c r="CN51" s="266" t="s">
        <v>8</v>
      </c>
      <c r="CO51" s="582" t="s">
        <v>149</v>
      </c>
      <c r="CP51" s="582" t="s">
        <v>149</v>
      </c>
      <c r="CQ51" s="582" t="s">
        <v>149</v>
      </c>
      <c r="CR51" s="581" t="s">
        <v>149</v>
      </c>
      <c r="CU51" s="266" t="s">
        <v>8</v>
      </c>
      <c r="CV51" s="582" t="s">
        <v>149</v>
      </c>
      <c r="CW51" s="582" t="s">
        <v>149</v>
      </c>
      <c r="CX51" s="582" t="s">
        <v>149</v>
      </c>
      <c r="CY51" s="582" t="s">
        <v>149</v>
      </c>
      <c r="CZ51" s="328"/>
      <c r="DB51" s="266" t="s">
        <v>8</v>
      </c>
      <c r="DC51" s="582" t="s">
        <v>149</v>
      </c>
      <c r="DD51" s="582" t="s">
        <v>149</v>
      </c>
      <c r="DE51" s="582" t="s">
        <v>149</v>
      </c>
      <c r="DF51" s="581" t="s">
        <v>149</v>
      </c>
      <c r="DI51" s="266" t="s">
        <v>8</v>
      </c>
      <c r="DJ51" s="582" t="s">
        <v>149</v>
      </c>
      <c r="DK51" s="582" t="s">
        <v>149</v>
      </c>
      <c r="DL51" s="582" t="s">
        <v>149</v>
      </c>
      <c r="DM51" s="581" t="s">
        <v>149</v>
      </c>
      <c r="DN51" s="328"/>
    </row>
    <row r="52" spans="1:118">
      <c r="A52" s="267" t="s">
        <v>9</v>
      </c>
      <c r="B52" s="627" t="s">
        <v>149</v>
      </c>
      <c r="C52" s="627" t="s">
        <v>149</v>
      </c>
      <c r="D52" s="659" t="s">
        <v>149</v>
      </c>
      <c r="E52" s="665" t="s">
        <v>149</v>
      </c>
      <c r="H52" s="267" t="s">
        <v>9</v>
      </c>
      <c r="I52" s="627" t="s">
        <v>149</v>
      </c>
      <c r="J52" s="627" t="s">
        <v>149</v>
      </c>
      <c r="K52" s="659" t="s">
        <v>149</v>
      </c>
      <c r="L52" s="665" t="s">
        <v>149</v>
      </c>
      <c r="O52" s="267" t="s">
        <v>9</v>
      </c>
      <c r="P52" s="627" t="s">
        <v>149</v>
      </c>
      <c r="Q52" s="627" t="s">
        <v>149</v>
      </c>
      <c r="R52" s="659" t="s">
        <v>149</v>
      </c>
      <c r="S52" s="665" t="s">
        <v>149</v>
      </c>
      <c r="V52" s="267" t="s">
        <v>9</v>
      </c>
      <c r="W52" s="627" t="s">
        <v>149</v>
      </c>
      <c r="X52" s="627" t="s">
        <v>149</v>
      </c>
      <c r="Y52" s="659" t="s">
        <v>149</v>
      </c>
      <c r="Z52" s="665" t="s">
        <v>149</v>
      </c>
      <c r="AC52" s="267" t="s">
        <v>9</v>
      </c>
      <c r="AD52" s="627" t="s">
        <v>149</v>
      </c>
      <c r="AE52" s="627" t="s">
        <v>149</v>
      </c>
      <c r="AF52" s="659" t="s">
        <v>149</v>
      </c>
      <c r="AG52" s="665" t="s">
        <v>149</v>
      </c>
      <c r="AJ52" s="267" t="s">
        <v>9</v>
      </c>
      <c r="AK52" s="657" t="s">
        <v>149</v>
      </c>
      <c r="AL52" s="658" t="s">
        <v>149</v>
      </c>
      <c r="AM52" s="659" t="s">
        <v>149</v>
      </c>
      <c r="AN52" s="368">
        <v>18</v>
      </c>
      <c r="AQ52" s="267" t="s">
        <v>9</v>
      </c>
      <c r="AR52" s="657" t="s">
        <v>149</v>
      </c>
      <c r="AS52" s="658" t="s">
        <v>149</v>
      </c>
      <c r="AT52" s="659" t="s">
        <v>149</v>
      </c>
      <c r="AU52" s="368">
        <v>19</v>
      </c>
      <c r="AX52" s="266" t="s">
        <v>225</v>
      </c>
      <c r="AY52" s="279">
        <v>53.571625637398249</v>
      </c>
      <c r="AZ52" s="654">
        <v>3981.0982394617877</v>
      </c>
      <c r="BA52" s="655">
        <f>+AY52/AZ52</f>
        <v>1.3456494267431266E-2</v>
      </c>
      <c r="BB52" s="367">
        <v>15</v>
      </c>
      <c r="BE52" s="266" t="s">
        <v>225</v>
      </c>
      <c r="BF52" s="355" t="s">
        <v>149</v>
      </c>
      <c r="BG52" s="351" t="s">
        <v>149</v>
      </c>
      <c r="BH52" s="644" t="s">
        <v>149</v>
      </c>
      <c r="BI52" s="351" t="s">
        <v>149</v>
      </c>
      <c r="BL52" s="266" t="s">
        <v>225</v>
      </c>
      <c r="BM52" s="351">
        <v>42.568875018434149</v>
      </c>
      <c r="BN52" s="351">
        <v>5084.9869952194749</v>
      </c>
      <c r="BO52" s="644">
        <f>BM52/BN52</f>
        <v>8.3714815905044059E-3</v>
      </c>
      <c r="BP52" s="351">
        <v>17</v>
      </c>
      <c r="BS52" s="266" t="s">
        <v>225</v>
      </c>
      <c r="BT52" s="351">
        <v>44.365098691602192</v>
      </c>
      <c r="BU52" s="351">
        <v>5530.2353269607784</v>
      </c>
      <c r="BV52" s="644">
        <f>BT52/BU52</f>
        <v>8.0222804399146027E-3</v>
      </c>
      <c r="BW52" s="351">
        <v>17</v>
      </c>
      <c r="BZ52" s="266" t="s">
        <v>225</v>
      </c>
      <c r="CA52" s="355">
        <v>7.2759965238130828</v>
      </c>
      <c r="CB52" s="351">
        <v>6538.104354344935</v>
      </c>
      <c r="CC52" s="644">
        <f>CA52/CB52</f>
        <v>1.1128602618552237E-3</v>
      </c>
      <c r="CD52" s="351">
        <v>18</v>
      </c>
      <c r="CG52" s="266" t="s">
        <v>225</v>
      </c>
      <c r="CH52" s="582" t="s">
        <v>149</v>
      </c>
      <c r="CI52" s="581" t="s">
        <v>149</v>
      </c>
      <c r="CJ52" s="642" t="s">
        <v>149</v>
      </c>
      <c r="CK52" s="641" t="s">
        <v>149</v>
      </c>
      <c r="CN52" s="266" t="s">
        <v>225</v>
      </c>
      <c r="CO52" s="582" t="s">
        <v>149</v>
      </c>
      <c r="CP52" s="582" t="s">
        <v>149</v>
      </c>
      <c r="CQ52" s="582" t="s">
        <v>149</v>
      </c>
      <c r="CR52" s="641">
        <v>19.5</v>
      </c>
      <c r="CU52" s="266" t="s">
        <v>225</v>
      </c>
      <c r="CV52" s="582" t="s">
        <v>149</v>
      </c>
      <c r="CW52" s="582" t="s">
        <v>149</v>
      </c>
      <c r="CX52" s="582" t="s">
        <v>149</v>
      </c>
      <c r="CY52" s="600">
        <v>20.5</v>
      </c>
      <c r="CZ52" s="328"/>
      <c r="DB52" s="266" t="s">
        <v>225</v>
      </c>
      <c r="DC52" s="582" t="s">
        <v>149</v>
      </c>
      <c r="DD52" s="582" t="s">
        <v>149</v>
      </c>
      <c r="DE52" s="582" t="s">
        <v>149</v>
      </c>
      <c r="DF52" s="641">
        <v>21.5</v>
      </c>
      <c r="DI52" s="266" t="s">
        <v>225</v>
      </c>
      <c r="DJ52" s="582" t="s">
        <v>149</v>
      </c>
      <c r="DK52" s="582" t="s">
        <v>149</v>
      </c>
      <c r="DL52" s="582" t="s">
        <v>149</v>
      </c>
      <c r="DM52" s="641">
        <v>22.5</v>
      </c>
      <c r="DN52" s="328"/>
    </row>
    <row r="53" spans="1:118">
      <c r="A53" s="266" t="s">
        <v>278</v>
      </c>
      <c r="B53" s="29"/>
      <c r="H53" s="266" t="s">
        <v>278</v>
      </c>
      <c r="O53" s="266" t="s">
        <v>278</v>
      </c>
      <c r="V53" s="266" t="s">
        <v>278</v>
      </c>
      <c r="AC53" s="29" t="s">
        <v>278</v>
      </c>
      <c r="AJ53" s="29" t="s">
        <v>278</v>
      </c>
      <c r="AQ53" s="29" t="s">
        <v>278</v>
      </c>
      <c r="AX53" s="267" t="s">
        <v>9</v>
      </c>
      <c r="AY53" s="609" t="s">
        <v>149</v>
      </c>
      <c r="AZ53" s="610" t="s">
        <v>149</v>
      </c>
      <c r="BA53" s="656" t="s">
        <v>149</v>
      </c>
      <c r="BB53" s="368">
        <v>20</v>
      </c>
      <c r="BE53" s="267" t="s">
        <v>9</v>
      </c>
      <c r="BF53" s="652" t="s">
        <v>149</v>
      </c>
      <c r="BG53" s="610" t="s">
        <v>149</v>
      </c>
      <c r="BH53" s="649" t="s">
        <v>149</v>
      </c>
      <c r="BI53" s="617">
        <v>21</v>
      </c>
      <c r="BL53" s="267" t="s">
        <v>9</v>
      </c>
      <c r="BM53" s="609" t="s">
        <v>149</v>
      </c>
      <c r="BN53" s="610" t="s">
        <v>149</v>
      </c>
      <c r="BO53" s="649" t="s">
        <v>149</v>
      </c>
      <c r="BP53" s="610" t="s">
        <v>149</v>
      </c>
      <c r="BS53" s="267" t="s">
        <v>9</v>
      </c>
      <c r="BT53" s="609" t="s">
        <v>149</v>
      </c>
      <c r="BU53" s="609" t="s">
        <v>149</v>
      </c>
      <c r="BV53" s="647" t="s">
        <v>149</v>
      </c>
      <c r="BW53" s="648">
        <v>23</v>
      </c>
      <c r="BZ53" s="267" t="s">
        <v>9</v>
      </c>
      <c r="CA53" s="609" t="s">
        <v>149</v>
      </c>
      <c r="CB53" s="609" t="s">
        <v>149</v>
      </c>
      <c r="CC53" s="647" t="s">
        <v>149</v>
      </c>
      <c r="CD53" s="368">
        <v>24</v>
      </c>
      <c r="CG53" s="267" t="s">
        <v>9</v>
      </c>
      <c r="CH53" s="609" t="s">
        <v>149</v>
      </c>
      <c r="CI53" s="609" t="s">
        <v>149</v>
      </c>
      <c r="CJ53" s="609" t="s">
        <v>149</v>
      </c>
      <c r="CK53" s="612">
        <v>25</v>
      </c>
      <c r="CN53" s="267" t="s">
        <v>9</v>
      </c>
      <c r="CO53" s="609" t="s">
        <v>149</v>
      </c>
      <c r="CP53" s="609" t="s">
        <v>149</v>
      </c>
      <c r="CQ53" s="609" t="s">
        <v>149</v>
      </c>
      <c r="CR53" s="612">
        <v>27</v>
      </c>
      <c r="CU53" s="267" t="s">
        <v>9</v>
      </c>
      <c r="CV53" s="609" t="s">
        <v>149</v>
      </c>
      <c r="CW53" s="609" t="s">
        <v>149</v>
      </c>
      <c r="CX53" s="609" t="s">
        <v>149</v>
      </c>
      <c r="CY53" s="612">
        <v>27</v>
      </c>
      <c r="CZ53" s="328"/>
      <c r="DB53" s="267" t="s">
        <v>9</v>
      </c>
      <c r="DC53" s="609" t="s">
        <v>149</v>
      </c>
      <c r="DD53" s="609" t="s">
        <v>149</v>
      </c>
      <c r="DE53" s="609" t="s">
        <v>149</v>
      </c>
      <c r="DF53" s="612">
        <v>28</v>
      </c>
      <c r="DI53" s="267" t="s">
        <v>9</v>
      </c>
      <c r="DJ53" s="609" t="s">
        <v>149</v>
      </c>
      <c r="DK53" s="609" t="s">
        <v>149</v>
      </c>
      <c r="DL53" s="609" t="s">
        <v>149</v>
      </c>
      <c r="DM53" s="612">
        <v>29</v>
      </c>
      <c r="DN53" s="328"/>
    </row>
    <row r="54" spans="1:118">
      <c r="A54" s="29" t="s">
        <v>279</v>
      </c>
      <c r="B54" s="29"/>
      <c r="H54" s="29" t="s">
        <v>279</v>
      </c>
      <c r="O54" s="29" t="s">
        <v>279</v>
      </c>
      <c r="V54" s="29" t="s">
        <v>279</v>
      </c>
      <c r="AC54" s="29" t="s">
        <v>280</v>
      </c>
      <c r="AJ54" s="29" t="s">
        <v>280</v>
      </c>
      <c r="AQ54" s="29" t="s">
        <v>280</v>
      </c>
      <c r="AX54" s="29" t="s">
        <v>278</v>
      </c>
      <c r="BE54" s="29" t="s">
        <v>278</v>
      </c>
      <c r="BL54" s="29" t="s">
        <v>278</v>
      </c>
      <c r="BS54" s="29" t="s">
        <v>278</v>
      </c>
      <c r="BZ54" s="29" t="s">
        <v>278</v>
      </c>
      <c r="CG54" s="29" t="s">
        <v>278</v>
      </c>
      <c r="CN54" s="29" t="s">
        <v>278</v>
      </c>
      <c r="CU54" s="29" t="s">
        <v>278</v>
      </c>
      <c r="DB54" s="29" t="s">
        <v>278</v>
      </c>
      <c r="DI54" s="29" t="s">
        <v>278</v>
      </c>
    </row>
    <row r="55" spans="1:118">
      <c r="A55" s="29"/>
      <c r="B55" s="29"/>
      <c r="AC55" s="29" t="s">
        <v>281</v>
      </c>
      <c r="AJ55" s="29" t="s">
        <v>281</v>
      </c>
      <c r="AQ55" s="29" t="s">
        <v>281</v>
      </c>
      <c r="AX55" s="29" t="s">
        <v>280</v>
      </c>
      <c r="BE55" s="29" t="s">
        <v>280</v>
      </c>
      <c r="BL55" s="29" t="s">
        <v>280</v>
      </c>
      <c r="BS55" s="29" t="s">
        <v>280</v>
      </c>
      <c r="BZ55" s="29" t="s">
        <v>280</v>
      </c>
      <c r="CG55" s="29" t="s">
        <v>280</v>
      </c>
      <c r="CN55" s="29" t="s">
        <v>280</v>
      </c>
      <c r="CU55" s="29" t="s">
        <v>280</v>
      </c>
      <c r="DB55" s="29" t="s">
        <v>280</v>
      </c>
      <c r="DI55" s="29" t="s">
        <v>280</v>
      </c>
    </row>
    <row r="56" spans="1:118">
      <c r="A56" s="29"/>
      <c r="B56" s="29"/>
      <c r="AC56" s="29" t="s">
        <v>282</v>
      </c>
      <c r="AJ56" s="29" t="s">
        <v>282</v>
      </c>
      <c r="AQ56" s="29" t="s">
        <v>282</v>
      </c>
      <c r="AX56" s="29" t="s">
        <v>281</v>
      </c>
      <c r="BE56" s="29" t="s">
        <v>281</v>
      </c>
      <c r="BL56" s="29" t="s">
        <v>281</v>
      </c>
      <c r="BS56" s="29" t="s">
        <v>281</v>
      </c>
      <c r="BZ56" s="29" t="s">
        <v>281</v>
      </c>
      <c r="CG56" s="29" t="s">
        <v>281</v>
      </c>
      <c r="CN56" s="29" t="s">
        <v>281</v>
      </c>
      <c r="CU56" s="29" t="s">
        <v>281</v>
      </c>
      <c r="DB56" s="29" t="s">
        <v>281</v>
      </c>
      <c r="DI56" s="29" t="s">
        <v>281</v>
      </c>
    </row>
    <row r="57" spans="1:118">
      <c r="A57" s="29"/>
      <c r="B57" s="29"/>
      <c r="AX57" s="29" t="s">
        <v>282</v>
      </c>
      <c r="BE57" s="29" t="s">
        <v>282</v>
      </c>
      <c r="BL57" s="29" t="s">
        <v>282</v>
      </c>
      <c r="BS57" s="29" t="s">
        <v>282</v>
      </c>
      <c r="BZ57" s="29" t="s">
        <v>282</v>
      </c>
      <c r="CG57" s="29" t="s">
        <v>282</v>
      </c>
      <c r="CN57" s="29" t="s">
        <v>282</v>
      </c>
      <c r="CU57" s="29" t="s">
        <v>282</v>
      </c>
      <c r="DB57" s="29" t="s">
        <v>282</v>
      </c>
      <c r="DI57" s="29" t="s">
        <v>282</v>
      </c>
    </row>
  </sheetData>
  <mergeCells count="73">
    <mergeCell ref="BF25:BI25"/>
    <mergeCell ref="BE41:BE43"/>
    <mergeCell ref="BL5:BL6"/>
    <mergeCell ref="BL24:BL25"/>
    <mergeCell ref="CH25:CK25"/>
    <mergeCell ref="BM25:BP25"/>
    <mergeCell ref="BL41:BL43"/>
    <mergeCell ref="BS41:BS43"/>
    <mergeCell ref="BT25:BW25"/>
    <mergeCell ref="BS24:BS25"/>
    <mergeCell ref="BS5:BS6"/>
    <mergeCell ref="CG41:CG43"/>
    <mergeCell ref="BZ5:BZ6"/>
    <mergeCell ref="BZ24:BZ25"/>
    <mergeCell ref="CA25:CD25"/>
    <mergeCell ref="BZ41:BZ43"/>
    <mergeCell ref="AX41:AX43"/>
    <mergeCell ref="AJ5:AJ6"/>
    <mergeCell ref="AJ24:AJ25"/>
    <mergeCell ref="AK25:AN25"/>
    <mergeCell ref="AQ5:AQ6"/>
    <mergeCell ref="AQ24:AQ25"/>
    <mergeCell ref="AR25:AU25"/>
    <mergeCell ref="AQ36:AU36"/>
    <mergeCell ref="AQ41:AQ43"/>
    <mergeCell ref="AJ41:AJ43"/>
    <mergeCell ref="AX5:AX6"/>
    <mergeCell ref="AX24:AX25"/>
    <mergeCell ref="A24:A25"/>
    <mergeCell ref="W25:Z25"/>
    <mergeCell ref="B25:E25"/>
    <mergeCell ref="I25:L25"/>
    <mergeCell ref="V24:V25"/>
    <mergeCell ref="P25:S25"/>
    <mergeCell ref="A5:A6"/>
    <mergeCell ref="H5:H6"/>
    <mergeCell ref="O5:O6"/>
    <mergeCell ref="V5:V6"/>
    <mergeCell ref="AC5:AC6"/>
    <mergeCell ref="A41:A43"/>
    <mergeCell ref="H41:H43"/>
    <mergeCell ref="O41:O43"/>
    <mergeCell ref="V41:V43"/>
    <mergeCell ref="AC41:AC43"/>
    <mergeCell ref="AY25:BB25"/>
    <mergeCell ref="BE5:BE6"/>
    <mergeCell ref="BE24:BE25"/>
    <mergeCell ref="H36:L36"/>
    <mergeCell ref="O36:S36"/>
    <mergeCell ref="V36:Z36"/>
    <mergeCell ref="AJ36:AN36"/>
    <mergeCell ref="H24:H25"/>
    <mergeCell ref="O24:O25"/>
    <mergeCell ref="AD25:AG25"/>
    <mergeCell ref="AC24:AC25"/>
    <mergeCell ref="CG5:CG6"/>
    <mergeCell ref="CG24:CG25"/>
    <mergeCell ref="CU41:CU43"/>
    <mergeCell ref="CU5:CU6"/>
    <mergeCell ref="CU24:CU25"/>
    <mergeCell ref="CV25:CY25"/>
    <mergeCell ref="CN41:CN43"/>
    <mergeCell ref="CO25:CR25"/>
    <mergeCell ref="DI5:DI6"/>
    <mergeCell ref="DI24:DI25"/>
    <mergeCell ref="DB5:DB6"/>
    <mergeCell ref="CN5:CN6"/>
    <mergeCell ref="CN24:CN25"/>
    <mergeCell ref="DJ25:DM25"/>
    <mergeCell ref="DI41:DI43"/>
    <mergeCell ref="DB41:DB43"/>
    <mergeCell ref="DC25:DF25"/>
    <mergeCell ref="DB24:DB25"/>
  </mergeCells>
  <phoneticPr fontId="9" type="noConversion"/>
  <printOptions horizontalCentered="1" verticalCentered="1"/>
  <pageMargins left="0.25" right="0.25" top="0.75" bottom="0.75" header="0.3" footer="0.3"/>
  <pageSetup scale="51" fitToWidth="0" orientation="landscape" r:id="rId1"/>
  <headerFooter alignWithMargins="0">
    <oddHeader>&amp;A</oddHeader>
    <oddFooter>&amp;L&amp;F&amp;R&amp;D</oddFooter>
  </headerFooter>
  <legacy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O273"/>
  <sheetViews>
    <sheetView showGridLines="0" zoomScale="90" zoomScaleNormal="90" workbookViewId="0"/>
  </sheetViews>
  <sheetFormatPr baseColWidth="10" defaultRowHeight="15"/>
  <cols>
    <col min="1" max="1" width="12.625" style="13" customWidth="1"/>
    <col min="2" max="9" width="9.625" style="13" customWidth="1"/>
    <col min="10" max="16384" width="11" style="13"/>
  </cols>
  <sheetData>
    <row r="1" spans="1:9" ht="15.75" customHeight="1">
      <c r="A1" s="10" t="s">
        <v>331</v>
      </c>
    </row>
    <row r="2" spans="1:9" ht="15.75" customHeight="1">
      <c r="A2" s="12" t="s">
        <v>295</v>
      </c>
    </row>
    <row r="3" spans="1:9" ht="8.1" customHeight="1">
      <c r="A3" s="575"/>
    </row>
    <row r="4" spans="1:9" s="134" customFormat="1" ht="42" customHeight="1">
      <c r="A4" s="683" t="s">
        <v>0</v>
      </c>
      <c r="B4" s="686" t="s">
        <v>236</v>
      </c>
      <c r="C4" s="687"/>
      <c r="D4" s="687"/>
      <c r="E4" s="687"/>
      <c r="F4" s="687"/>
      <c r="G4" s="687"/>
      <c r="H4" s="687"/>
      <c r="I4" s="688"/>
    </row>
    <row r="5" spans="1:9" s="134" customFormat="1">
      <c r="A5" s="684"/>
      <c r="B5" s="689" t="s">
        <v>237</v>
      </c>
      <c r="C5" s="690"/>
      <c r="D5" s="689" t="s">
        <v>238</v>
      </c>
      <c r="E5" s="690"/>
      <c r="F5" s="689" t="s">
        <v>239</v>
      </c>
      <c r="G5" s="690"/>
      <c r="H5" s="689" t="s">
        <v>240</v>
      </c>
      <c r="I5" s="690"/>
    </row>
    <row r="6" spans="1:9" s="134" customFormat="1" ht="24.75" customHeight="1">
      <c r="A6" s="685"/>
      <c r="B6" s="302" t="s">
        <v>241</v>
      </c>
      <c r="C6" s="302" t="s">
        <v>242</v>
      </c>
      <c r="D6" s="302" t="s">
        <v>241</v>
      </c>
      <c r="E6" s="325" t="s">
        <v>242</v>
      </c>
      <c r="F6" s="302" t="s">
        <v>241</v>
      </c>
      <c r="G6" s="325" t="s">
        <v>242</v>
      </c>
      <c r="H6" s="302" t="s">
        <v>241</v>
      </c>
      <c r="I6" s="302" t="s">
        <v>242</v>
      </c>
    </row>
    <row r="7" spans="1:9" ht="15.75" hidden="1" customHeight="1">
      <c r="A7" s="266" t="s">
        <v>220</v>
      </c>
      <c r="B7" s="304"/>
      <c r="C7" s="304"/>
      <c r="D7" s="303"/>
      <c r="E7" s="304"/>
      <c r="F7" s="303"/>
      <c r="G7" s="305"/>
      <c r="H7" s="303"/>
      <c r="I7" s="305"/>
    </row>
    <row r="8" spans="1:9" ht="15.75" customHeight="1">
      <c r="A8" s="266" t="s">
        <v>4</v>
      </c>
      <c r="B8" s="326"/>
      <c r="C8" s="327"/>
      <c r="D8" s="326"/>
      <c r="E8" s="327"/>
      <c r="F8" s="326"/>
      <c r="G8" s="327"/>
      <c r="H8" s="326"/>
      <c r="I8" s="327"/>
    </row>
    <row r="9" spans="1:9" ht="15.75" customHeight="1">
      <c r="A9" s="266" t="s">
        <v>222</v>
      </c>
      <c r="B9" s="29">
        <v>13.98</v>
      </c>
      <c r="C9" s="29">
        <v>8.51</v>
      </c>
      <c r="D9" s="328">
        <v>11.3</v>
      </c>
      <c r="E9" s="29">
        <v>6.57</v>
      </c>
      <c r="F9" s="328">
        <v>15.33</v>
      </c>
      <c r="G9" s="329">
        <v>12.02</v>
      </c>
      <c r="H9" s="328">
        <v>-0.46</v>
      </c>
      <c r="I9" s="329">
        <v>-4.04</v>
      </c>
    </row>
    <row r="10" spans="1:9" ht="15.75" customHeight="1">
      <c r="A10" s="266" t="s">
        <v>223</v>
      </c>
      <c r="B10" s="29"/>
      <c r="C10" s="29"/>
      <c r="D10" s="330"/>
      <c r="E10" s="147"/>
      <c r="F10" s="330"/>
      <c r="G10" s="331"/>
      <c r="H10" s="330"/>
      <c r="I10" s="331"/>
    </row>
    <row r="11" spans="1:9" ht="15.75" customHeight="1">
      <c r="A11" s="266" t="s">
        <v>6</v>
      </c>
      <c r="B11" s="36">
        <v>7.0000166841000002</v>
      </c>
      <c r="C11" s="36">
        <v>2.5090933063479999</v>
      </c>
      <c r="D11" s="332">
        <v>4.8570669534919997</v>
      </c>
      <c r="E11" s="36">
        <v>1.1274852957829999</v>
      </c>
      <c r="F11" s="332">
        <v>4.4412490898000003</v>
      </c>
      <c r="G11" s="333">
        <v>2.0332640580580001</v>
      </c>
      <c r="H11" s="332">
        <v>2.824991727</v>
      </c>
      <c r="I11" s="333">
        <v>-2.1180469049999999</v>
      </c>
    </row>
    <row r="12" spans="1:9" ht="15.75" customHeight="1">
      <c r="A12" s="266" t="s">
        <v>224</v>
      </c>
      <c r="B12" s="36">
        <v>9.3218893022974303</v>
      </c>
      <c r="C12" s="36">
        <v>4.8026948853631568</v>
      </c>
      <c r="D12" s="332">
        <v>7.876047336331947</v>
      </c>
      <c r="E12" s="36">
        <v>3.4324880970897897</v>
      </c>
      <c r="F12" s="332">
        <v>11.526835696844408</v>
      </c>
      <c r="G12" s="333">
        <v>7.4234410994597155</v>
      </c>
      <c r="H12" s="332">
        <v>6.7311995629464896</v>
      </c>
      <c r="I12" s="333">
        <v>3.0795015259539364</v>
      </c>
    </row>
    <row r="13" spans="1:9" ht="15.75" customHeight="1">
      <c r="A13" s="266" t="s">
        <v>184</v>
      </c>
      <c r="B13" s="29"/>
      <c r="C13" s="29"/>
      <c r="D13" s="328"/>
      <c r="E13" s="29"/>
      <c r="F13" s="328"/>
      <c r="G13" s="329"/>
      <c r="H13" s="328"/>
      <c r="I13" s="329"/>
    </row>
    <row r="14" spans="1:9" ht="15.75" customHeight="1">
      <c r="A14" s="266" t="s">
        <v>8</v>
      </c>
      <c r="B14" s="36">
        <v>12.7719</v>
      </c>
      <c r="C14" s="36">
        <v>9.7439</v>
      </c>
      <c r="D14" s="332">
        <v>7.4451000000000001</v>
      </c>
      <c r="E14" s="36">
        <v>3.8075999999999999</v>
      </c>
      <c r="F14" s="332">
        <v>13.6104</v>
      </c>
      <c r="G14" s="333">
        <v>11.0162</v>
      </c>
      <c r="H14" s="332">
        <v>-7.0583000000000009</v>
      </c>
      <c r="I14" s="333">
        <v>-11.263</v>
      </c>
    </row>
    <row r="15" spans="1:9" ht="15.75" customHeight="1">
      <c r="A15" s="266" t="s">
        <v>225</v>
      </c>
      <c r="B15" s="263">
        <v>14.8223642884826</v>
      </c>
      <c r="C15" s="263">
        <v>2.5177327782468</v>
      </c>
      <c r="D15" s="334">
        <v>11.3665158441651</v>
      </c>
      <c r="E15" s="263">
        <v>4.6207139491151796</v>
      </c>
      <c r="F15" s="334">
        <v>12.6378619770858</v>
      </c>
      <c r="G15" s="335">
        <v>6.9829298006408198</v>
      </c>
      <c r="H15" s="334">
        <v>12.482469934382101</v>
      </c>
      <c r="I15" s="335">
        <v>4.3823960044377603</v>
      </c>
    </row>
    <row r="16" spans="1:9" ht="15.75" customHeight="1">
      <c r="A16" s="267" t="s">
        <v>9</v>
      </c>
      <c r="B16" s="336"/>
      <c r="C16" s="336"/>
      <c r="D16" s="337"/>
      <c r="E16" s="336"/>
      <c r="F16" s="337"/>
      <c r="G16" s="338"/>
      <c r="H16" s="337"/>
      <c r="I16" s="338"/>
    </row>
    <row r="17" spans="1:9" s="76" customFormat="1" ht="10.5" customHeight="1"/>
    <row r="18" spans="1:9" s="29" customFormat="1" ht="18" customHeight="1"/>
    <row r="19" spans="1:9" s="76" customFormat="1" ht="15.75" customHeight="1">
      <c r="A19" s="12" t="s">
        <v>296</v>
      </c>
      <c r="B19" s="13"/>
      <c r="C19" s="13"/>
      <c r="D19" s="13"/>
      <c r="E19" s="13"/>
      <c r="F19" s="13"/>
      <c r="G19" s="13"/>
      <c r="H19" s="13"/>
      <c r="I19" s="13"/>
    </row>
    <row r="20" spans="1:9" ht="8.1" customHeight="1">
      <c r="A20" s="575"/>
    </row>
    <row r="21" spans="1:9" ht="24" customHeight="1">
      <c r="A21" s="683" t="s">
        <v>0</v>
      </c>
      <c r="B21" s="686" t="s">
        <v>236</v>
      </c>
      <c r="C21" s="687"/>
      <c r="D21" s="687"/>
      <c r="E21" s="687"/>
      <c r="F21" s="687"/>
      <c r="G21" s="687"/>
      <c r="H21" s="687"/>
      <c r="I21" s="688"/>
    </row>
    <row r="22" spans="1:9" ht="14.1" customHeight="1">
      <c r="A22" s="684"/>
      <c r="B22" s="689" t="s">
        <v>237</v>
      </c>
      <c r="C22" s="690"/>
      <c r="D22" s="689" t="s">
        <v>238</v>
      </c>
      <c r="E22" s="690"/>
      <c r="F22" s="689" t="s">
        <v>239</v>
      </c>
      <c r="G22" s="690"/>
      <c r="H22" s="689" t="s">
        <v>240</v>
      </c>
      <c r="I22" s="690"/>
    </row>
    <row r="23" spans="1:9" ht="15.75" customHeight="1">
      <c r="A23" s="685"/>
      <c r="B23" s="302" t="s">
        <v>241</v>
      </c>
      <c r="C23" s="302" t="s">
        <v>242</v>
      </c>
      <c r="D23" s="302" t="s">
        <v>241</v>
      </c>
      <c r="E23" s="325" t="s">
        <v>242</v>
      </c>
      <c r="F23" s="302" t="s">
        <v>241</v>
      </c>
      <c r="G23" s="325" t="s">
        <v>242</v>
      </c>
      <c r="H23" s="302" t="s">
        <v>241</v>
      </c>
      <c r="I23" s="302" t="s">
        <v>242</v>
      </c>
    </row>
    <row r="24" spans="1:9" ht="15.75" hidden="1" customHeight="1">
      <c r="A24" s="266" t="s">
        <v>220</v>
      </c>
      <c r="B24" s="304"/>
      <c r="C24" s="304"/>
      <c r="D24" s="303"/>
      <c r="E24" s="304"/>
      <c r="F24" s="303"/>
      <c r="G24" s="305"/>
      <c r="H24" s="303"/>
      <c r="I24" s="305"/>
    </row>
    <row r="25" spans="1:9" ht="15.75" customHeight="1">
      <c r="A25" s="266" t="s">
        <v>4</v>
      </c>
      <c r="B25" s="326">
        <v>8.6</v>
      </c>
      <c r="C25" s="327">
        <v>5.3</v>
      </c>
      <c r="D25" s="326">
        <v>4.9000000000000004</v>
      </c>
      <c r="E25" s="327">
        <v>1.8</v>
      </c>
      <c r="F25" s="326">
        <v>6.3</v>
      </c>
      <c r="G25" s="327">
        <v>3.2</v>
      </c>
      <c r="H25" s="326">
        <v>7.2</v>
      </c>
      <c r="I25" s="327">
        <v>4.5999999999999996</v>
      </c>
    </row>
    <row r="26" spans="1:9" ht="15.75" customHeight="1">
      <c r="A26" s="266" t="s">
        <v>5</v>
      </c>
      <c r="B26" s="29">
        <v>13.8</v>
      </c>
      <c r="C26" s="29">
        <v>8.81</v>
      </c>
      <c r="D26" s="328">
        <v>13.23</v>
      </c>
      <c r="E26" s="29">
        <v>9.11</v>
      </c>
      <c r="F26" s="328">
        <v>11.23</v>
      </c>
      <c r="G26" s="329">
        <v>7.88</v>
      </c>
      <c r="H26" s="328">
        <v>15.96</v>
      </c>
      <c r="I26" s="329">
        <v>13.22</v>
      </c>
    </row>
    <row r="27" spans="1:9" ht="15.75" customHeight="1">
      <c r="A27" s="266" t="s">
        <v>223</v>
      </c>
      <c r="B27" s="29"/>
      <c r="C27" s="29"/>
      <c r="D27" s="330"/>
      <c r="E27" s="147"/>
      <c r="F27" s="330"/>
      <c r="G27" s="331"/>
      <c r="H27" s="330"/>
      <c r="I27" s="331"/>
    </row>
    <row r="28" spans="1:9" ht="15.75" customHeight="1">
      <c r="A28" s="266" t="s">
        <v>6</v>
      </c>
      <c r="B28" s="263">
        <v>6.9862425984070002</v>
      </c>
      <c r="C28" s="263">
        <v>2.7725673375670001</v>
      </c>
      <c r="D28" s="334">
        <v>4.5929605096259998</v>
      </c>
      <c r="E28" s="263">
        <v>1.775806194172</v>
      </c>
      <c r="F28" s="334">
        <v>4.3843045733999997</v>
      </c>
      <c r="G28" s="335">
        <v>1.630128101827</v>
      </c>
      <c r="H28" s="334">
        <v>5.2009009900000001</v>
      </c>
      <c r="I28" s="335">
        <v>4.3866848479999998</v>
      </c>
    </row>
    <row r="29" spans="1:9" ht="15.75" customHeight="1">
      <c r="A29" s="266" t="s">
        <v>224</v>
      </c>
      <c r="B29" s="576">
        <v>9.938411670207671</v>
      </c>
      <c r="C29" s="576">
        <v>5.56037352108648</v>
      </c>
      <c r="D29" s="577">
        <v>9.9345616911415124</v>
      </c>
      <c r="E29" s="576">
        <v>5.3925490666427374</v>
      </c>
      <c r="F29" s="577">
        <v>12.205702649528238</v>
      </c>
      <c r="G29" s="578">
        <v>8.0244357014402059</v>
      </c>
      <c r="H29" s="577">
        <v>15.980380302610175</v>
      </c>
      <c r="I29" s="578">
        <v>11.722314521440474</v>
      </c>
    </row>
    <row r="30" spans="1:9" ht="15.75" customHeight="1">
      <c r="A30" s="266" t="s">
        <v>184</v>
      </c>
      <c r="B30" s="29"/>
      <c r="C30" s="29"/>
      <c r="D30" s="328"/>
      <c r="E30" s="29"/>
      <c r="F30" s="328"/>
      <c r="G30" s="329"/>
      <c r="H30" s="328"/>
      <c r="I30" s="329"/>
    </row>
    <row r="31" spans="1:9" ht="15.75" customHeight="1">
      <c r="A31" s="266" t="s">
        <v>8</v>
      </c>
      <c r="B31" s="263">
        <v>12.613099999999999</v>
      </c>
      <c r="C31" s="263">
        <v>9.4680999999999997</v>
      </c>
      <c r="D31" s="334">
        <v>5.0830000000000002</v>
      </c>
      <c r="E31" s="263">
        <v>1.7770999999999999</v>
      </c>
      <c r="F31" s="334">
        <v>7.1699000000000002</v>
      </c>
      <c r="G31" s="335">
        <v>3.8987000000000003</v>
      </c>
      <c r="H31" s="334">
        <v>11.7788</v>
      </c>
      <c r="I31" s="335">
        <v>8.8938000000000006</v>
      </c>
    </row>
    <row r="32" spans="1:9" ht="15.75" customHeight="1">
      <c r="A32" s="266" t="s">
        <v>225</v>
      </c>
      <c r="B32" s="263">
        <v>14.6698130258257</v>
      </c>
      <c r="C32" s="263">
        <v>3.2350658638147398</v>
      </c>
      <c r="D32" s="334">
        <v>12.1510078762497</v>
      </c>
      <c r="E32" s="263">
        <v>5.8572739119214798</v>
      </c>
      <c r="F32" s="334">
        <v>12.218888785169501</v>
      </c>
      <c r="G32" s="335">
        <v>5.7559241857161298</v>
      </c>
      <c r="H32" s="334">
        <v>14.271607750030901</v>
      </c>
      <c r="I32" s="335">
        <v>9.9750687786311794</v>
      </c>
    </row>
    <row r="33" spans="1:9" ht="15.75" customHeight="1">
      <c r="A33" s="267" t="s">
        <v>9</v>
      </c>
      <c r="B33" s="336"/>
      <c r="C33" s="336"/>
      <c r="D33" s="337"/>
      <c r="E33" s="336"/>
      <c r="F33" s="337"/>
      <c r="G33" s="338"/>
      <c r="H33" s="337"/>
      <c r="I33" s="338"/>
    </row>
    <row r="34" spans="1:9" ht="15.75" customHeight="1"/>
    <row r="35" spans="1:9" ht="15.75" customHeight="1"/>
    <row r="36" spans="1:9" ht="15.75" customHeight="1">
      <c r="A36" s="12" t="s">
        <v>297</v>
      </c>
    </row>
    <row r="37" spans="1:9" ht="8.1" customHeight="1">
      <c r="A37" s="575"/>
    </row>
    <row r="38" spans="1:9" ht="15.75" customHeight="1">
      <c r="A38" s="683" t="s">
        <v>0</v>
      </c>
      <c r="B38" s="686" t="s">
        <v>236</v>
      </c>
      <c r="C38" s="687"/>
      <c r="D38" s="687"/>
      <c r="E38" s="687"/>
      <c r="F38" s="687"/>
      <c r="G38" s="687"/>
      <c r="H38" s="687"/>
      <c r="I38" s="688"/>
    </row>
    <row r="39" spans="1:9" ht="15.75" customHeight="1">
      <c r="A39" s="684"/>
      <c r="B39" s="689" t="s">
        <v>237</v>
      </c>
      <c r="C39" s="690"/>
      <c r="D39" s="689" t="s">
        <v>238</v>
      </c>
      <c r="E39" s="690"/>
      <c r="F39" s="689" t="s">
        <v>239</v>
      </c>
      <c r="G39" s="690"/>
      <c r="H39" s="689" t="s">
        <v>240</v>
      </c>
      <c r="I39" s="690"/>
    </row>
    <row r="40" spans="1:9" ht="15.75" customHeight="1">
      <c r="A40" s="685"/>
      <c r="B40" s="302" t="s">
        <v>241</v>
      </c>
      <c r="C40" s="302" t="s">
        <v>242</v>
      </c>
      <c r="D40" s="302" t="s">
        <v>241</v>
      </c>
      <c r="E40" s="325" t="s">
        <v>242</v>
      </c>
      <c r="F40" s="302" t="s">
        <v>241</v>
      </c>
      <c r="G40" s="325" t="s">
        <v>242</v>
      </c>
      <c r="H40" s="302" t="s">
        <v>241</v>
      </c>
      <c r="I40" s="302" t="s">
        <v>242</v>
      </c>
    </row>
    <row r="41" spans="1:9" ht="15.75" hidden="1" customHeight="1">
      <c r="A41" s="266" t="s">
        <v>220</v>
      </c>
      <c r="B41" s="339"/>
      <c r="C41" s="339"/>
      <c r="D41" s="340"/>
      <c r="E41" s="339"/>
      <c r="F41" s="340"/>
      <c r="G41" s="341"/>
      <c r="H41" s="340"/>
      <c r="I41" s="341"/>
    </row>
    <row r="42" spans="1:9" ht="15.75" customHeight="1">
      <c r="A42" s="266" t="s">
        <v>4</v>
      </c>
      <c r="B42" s="326">
        <v>8.1</v>
      </c>
      <c r="C42" s="327">
        <v>4.7</v>
      </c>
      <c r="D42" s="326">
        <v>8.9</v>
      </c>
      <c r="E42" s="327">
        <v>7.1</v>
      </c>
      <c r="F42" s="326">
        <v>4.5999999999999996</v>
      </c>
      <c r="G42" s="327">
        <v>1.8</v>
      </c>
      <c r="H42" s="326">
        <v>6.8</v>
      </c>
      <c r="I42" s="327">
        <v>4.7</v>
      </c>
    </row>
    <row r="43" spans="1:9" ht="15.75" customHeight="1">
      <c r="A43" s="266" t="s">
        <v>5</v>
      </c>
      <c r="B43" s="29">
        <v>12.09</v>
      </c>
      <c r="C43" s="29">
        <v>7.64</v>
      </c>
      <c r="D43" s="328">
        <v>12.11</v>
      </c>
      <c r="E43" s="29">
        <v>9.23</v>
      </c>
      <c r="F43" s="328">
        <v>4.84</v>
      </c>
      <c r="G43" s="329">
        <v>2.09</v>
      </c>
      <c r="H43" s="328">
        <v>-0.49</v>
      </c>
      <c r="I43" s="329">
        <v>-2.36</v>
      </c>
    </row>
    <row r="44" spans="1:9" ht="15.75" customHeight="1">
      <c r="A44" s="266" t="s">
        <v>223</v>
      </c>
      <c r="B44" s="29"/>
      <c r="C44" s="29"/>
      <c r="D44" s="330"/>
      <c r="E44" s="147"/>
      <c r="F44" s="330"/>
      <c r="G44" s="331"/>
      <c r="H44" s="330"/>
      <c r="I44" s="331"/>
    </row>
    <row r="45" spans="1:9" ht="15.75" customHeight="1">
      <c r="A45" s="266" t="s">
        <v>6</v>
      </c>
      <c r="B45" s="263">
        <v>6.1845935545310002</v>
      </c>
      <c r="C45" s="263">
        <v>2.236230338845</v>
      </c>
      <c r="D45" s="334">
        <v>4.3994329639569996</v>
      </c>
      <c r="E45" s="263">
        <v>2.5998319122160001</v>
      </c>
      <c r="F45" s="334">
        <v>3.5642380485</v>
      </c>
      <c r="G45" s="335">
        <v>1.298527646838</v>
      </c>
      <c r="H45" s="334">
        <v>2.3290508870000002</v>
      </c>
      <c r="I45" s="335">
        <v>1.5269876849999999</v>
      </c>
    </row>
    <row r="46" spans="1:9" ht="15.75" customHeight="1">
      <c r="A46" s="266" t="s">
        <v>224</v>
      </c>
      <c r="B46" s="263">
        <v>9.3231754431960141</v>
      </c>
      <c r="C46" s="263">
        <v>4.9804927857483134</v>
      </c>
      <c r="D46" s="334">
        <v>10.839122833327048</v>
      </c>
      <c r="E46" s="263">
        <v>6.7740966668343798</v>
      </c>
      <c r="F46" s="334">
        <v>8.7937053964123066</v>
      </c>
      <c r="G46" s="335">
        <v>4.900005841234286</v>
      </c>
      <c r="H46" s="334">
        <v>3.8536902109382343</v>
      </c>
      <c r="I46" s="335">
        <v>0.14972254275143912</v>
      </c>
    </row>
    <row r="47" spans="1:9" ht="15.75" customHeight="1">
      <c r="A47" s="266" t="s">
        <v>184</v>
      </c>
      <c r="B47" s="29"/>
      <c r="C47" s="29"/>
      <c r="D47" s="328"/>
      <c r="E47" s="29"/>
      <c r="F47" s="328"/>
      <c r="G47" s="329"/>
      <c r="H47" s="328"/>
      <c r="I47" s="329"/>
    </row>
    <row r="48" spans="1:9" ht="15.75" customHeight="1">
      <c r="A48" s="266" t="s">
        <v>8</v>
      </c>
      <c r="B48" s="263">
        <v>10.4933</v>
      </c>
      <c r="C48" s="263">
        <v>7.3681000000000001</v>
      </c>
      <c r="D48" s="334">
        <v>10.4694</v>
      </c>
      <c r="E48" s="263">
        <v>7.7712000000000003</v>
      </c>
      <c r="F48" s="334">
        <v>1.3524</v>
      </c>
      <c r="G48" s="335">
        <v>-1.9911000000000001</v>
      </c>
      <c r="H48" s="334">
        <v>-3.8900000000000004E-2</v>
      </c>
      <c r="I48" s="335">
        <v>-2.8180000000000001</v>
      </c>
    </row>
    <row r="49" spans="1:9" ht="15.75" customHeight="1">
      <c r="A49" s="266" t="s">
        <v>225</v>
      </c>
      <c r="B49" s="263">
        <v>14.2536969346914</v>
      </c>
      <c r="C49" s="263">
        <v>4.4574285496734198</v>
      </c>
      <c r="D49" s="334">
        <v>13.139700507231399</v>
      </c>
      <c r="E49" s="263">
        <v>7.8833802992807396</v>
      </c>
      <c r="F49" s="334">
        <v>13.1310560099428</v>
      </c>
      <c r="G49" s="335">
        <v>7.12852778675851</v>
      </c>
      <c r="H49" s="334">
        <v>13.228970965525299</v>
      </c>
      <c r="I49" s="335">
        <v>9.0039367123193905</v>
      </c>
    </row>
    <row r="50" spans="1:9" ht="15.75" customHeight="1">
      <c r="A50" s="267" t="s">
        <v>9</v>
      </c>
      <c r="B50" s="336"/>
      <c r="C50" s="336"/>
      <c r="D50" s="337"/>
      <c r="E50" s="336"/>
      <c r="F50" s="337"/>
      <c r="G50" s="338"/>
      <c r="H50" s="337"/>
      <c r="I50" s="338"/>
    </row>
    <row r="51" spans="1:9" ht="15.75" customHeight="1"/>
    <row r="52" spans="1:9" ht="15.75" customHeight="1"/>
    <row r="53" spans="1:9" ht="15.75" customHeight="1">
      <c r="A53" s="12" t="s">
        <v>298</v>
      </c>
    </row>
    <row r="54" spans="1:9" ht="8.1" customHeight="1">
      <c r="A54" s="575"/>
    </row>
    <row r="55" spans="1:9" ht="15.75" customHeight="1">
      <c r="A55" s="683" t="s">
        <v>0</v>
      </c>
      <c r="B55" s="686" t="s">
        <v>236</v>
      </c>
      <c r="C55" s="687"/>
      <c r="D55" s="687"/>
      <c r="E55" s="687"/>
      <c r="F55" s="687"/>
      <c r="G55" s="687"/>
      <c r="H55" s="687"/>
      <c r="I55" s="688"/>
    </row>
    <row r="56" spans="1:9" ht="15.75" customHeight="1">
      <c r="A56" s="684"/>
      <c r="B56" s="689" t="s">
        <v>237</v>
      </c>
      <c r="C56" s="690"/>
      <c r="D56" s="689" t="s">
        <v>238</v>
      </c>
      <c r="E56" s="690"/>
      <c r="F56" s="689" t="s">
        <v>239</v>
      </c>
      <c r="G56" s="690"/>
      <c r="H56" s="689" t="s">
        <v>240</v>
      </c>
      <c r="I56" s="690"/>
    </row>
    <row r="57" spans="1:9" ht="15.75" customHeight="1">
      <c r="A57" s="685"/>
      <c r="B57" s="302" t="s">
        <v>241</v>
      </c>
      <c r="C57" s="302" t="s">
        <v>242</v>
      </c>
      <c r="D57" s="302" t="s">
        <v>241</v>
      </c>
      <c r="E57" s="325" t="s">
        <v>242</v>
      </c>
      <c r="F57" s="302" t="s">
        <v>241</v>
      </c>
      <c r="G57" s="325" t="s">
        <v>242</v>
      </c>
      <c r="H57" s="302" t="s">
        <v>241</v>
      </c>
      <c r="I57" s="302" t="s">
        <v>242</v>
      </c>
    </row>
    <row r="58" spans="1:9" ht="15.75" hidden="1" customHeight="1">
      <c r="A58" s="266" t="s">
        <v>220</v>
      </c>
      <c r="B58" s="339"/>
      <c r="C58" s="339"/>
      <c r="D58" s="340"/>
      <c r="E58" s="339"/>
      <c r="F58" s="340"/>
      <c r="G58" s="341"/>
      <c r="H58" s="340"/>
      <c r="I58" s="341"/>
    </row>
    <row r="59" spans="1:9" ht="15.75" customHeight="1">
      <c r="A59" s="266" t="s">
        <v>4</v>
      </c>
      <c r="B59" s="326">
        <v>8.5</v>
      </c>
      <c r="C59" s="327">
        <v>4.7</v>
      </c>
      <c r="D59" s="326">
        <v>8.1</v>
      </c>
      <c r="E59" s="327">
        <v>4.7</v>
      </c>
      <c r="F59" s="326">
        <v>9.6999999999999993</v>
      </c>
      <c r="G59" s="327">
        <v>6.1</v>
      </c>
      <c r="H59" s="326">
        <v>15.2</v>
      </c>
      <c r="I59" s="327">
        <v>9</v>
      </c>
    </row>
    <row r="60" spans="1:9" ht="15.75" customHeight="1">
      <c r="A60" s="266" t="s">
        <v>222</v>
      </c>
      <c r="B60" s="29">
        <v>11.46</v>
      </c>
      <c r="C60" s="29">
        <v>7.24</v>
      </c>
      <c r="D60" s="328">
        <v>8.8000000000000007</v>
      </c>
      <c r="E60" s="29">
        <v>5.66</v>
      </c>
      <c r="F60" s="328">
        <v>8.65</v>
      </c>
      <c r="G60" s="329">
        <v>5.83</v>
      </c>
      <c r="H60" s="328">
        <v>10.87</v>
      </c>
      <c r="I60" s="329">
        <v>6.96</v>
      </c>
    </row>
    <row r="61" spans="1:9" ht="15.75" customHeight="1">
      <c r="A61" s="266" t="s">
        <v>223</v>
      </c>
      <c r="B61" s="29"/>
      <c r="C61" s="29"/>
      <c r="D61" s="330"/>
      <c r="E61" s="147"/>
      <c r="F61" s="330"/>
      <c r="G61" s="331"/>
      <c r="H61" s="330"/>
      <c r="I61" s="331"/>
    </row>
    <row r="62" spans="1:9" ht="15.75" customHeight="1">
      <c r="A62" s="266" t="s">
        <v>6</v>
      </c>
      <c r="B62" s="263">
        <v>5.6073680671200004</v>
      </c>
      <c r="C62" s="263">
        <v>2.3148753774730002</v>
      </c>
      <c r="D62" s="334">
        <v>4.0683688324520002</v>
      </c>
      <c r="E62" s="335">
        <v>2.12</v>
      </c>
      <c r="F62" s="263">
        <v>3.9609939068000002</v>
      </c>
      <c r="G62" s="263">
        <v>3.2519968616630002</v>
      </c>
      <c r="H62" s="334">
        <v>3.930626545</v>
      </c>
      <c r="I62" s="335">
        <v>3.4444376879999998</v>
      </c>
    </row>
    <row r="63" spans="1:9" ht="15.75" customHeight="1">
      <c r="A63" s="266" t="s">
        <v>224</v>
      </c>
      <c r="B63" s="263">
        <v>9.6807202985357552</v>
      </c>
      <c r="C63" s="263">
        <v>5.4483411810176587</v>
      </c>
      <c r="D63" s="334">
        <v>10.15929713806422</v>
      </c>
      <c r="E63" s="263">
        <v>6.0270131177049837</v>
      </c>
      <c r="F63" s="334">
        <v>9.9713133443119339</v>
      </c>
      <c r="G63" s="335">
        <v>5.8482475770506959</v>
      </c>
      <c r="H63" s="334">
        <v>10.537927362391455</v>
      </c>
      <c r="I63" s="335">
        <v>6.1858529495980044</v>
      </c>
    </row>
    <row r="64" spans="1:9" ht="15.75" customHeight="1">
      <c r="A64" s="266" t="s">
        <v>184</v>
      </c>
      <c r="B64" s="147">
        <v>6.4</v>
      </c>
      <c r="C64" s="147">
        <v>6.07</v>
      </c>
      <c r="D64" s="330">
        <v>6.03</v>
      </c>
      <c r="E64" s="147">
        <v>5.35</v>
      </c>
      <c r="F64" s="330">
        <v>5.76</v>
      </c>
      <c r="G64" s="331">
        <v>5.39</v>
      </c>
      <c r="H64" s="330">
        <v>5.29</v>
      </c>
      <c r="I64" s="331">
        <v>5.28</v>
      </c>
    </row>
    <row r="65" spans="1:9" ht="15.75" customHeight="1">
      <c r="A65" s="266" t="s">
        <v>8</v>
      </c>
      <c r="B65" s="263">
        <v>10.4747</v>
      </c>
      <c r="C65" s="263">
        <v>7.3766999999999996</v>
      </c>
      <c r="D65" s="334">
        <v>6.1227999999999998</v>
      </c>
      <c r="E65" s="263">
        <v>2.9262000000000001</v>
      </c>
      <c r="F65" s="334">
        <v>6.7089999999999996</v>
      </c>
      <c r="G65" s="335">
        <v>3.6908000000000003</v>
      </c>
      <c r="H65" s="334">
        <v>8.9190000000000005</v>
      </c>
      <c r="I65" s="335">
        <v>5.5169999999999995</v>
      </c>
    </row>
    <row r="66" spans="1:9" ht="15.75" customHeight="1">
      <c r="A66" s="266" t="s">
        <v>225</v>
      </c>
      <c r="B66" s="263">
        <v>13.6486080114431</v>
      </c>
      <c r="C66" s="263">
        <v>6.0206389098531403</v>
      </c>
      <c r="D66" s="334">
        <v>12.9572647858212</v>
      </c>
      <c r="E66" s="263">
        <v>7.5596467696156102</v>
      </c>
      <c r="F66" s="334">
        <v>13.350376120253101</v>
      </c>
      <c r="G66" s="335">
        <v>8.0912980326355992</v>
      </c>
      <c r="H66" s="334">
        <v>11.6663916655663</v>
      </c>
      <c r="I66" s="335">
        <v>7.7056519628767397</v>
      </c>
    </row>
    <row r="67" spans="1:9" ht="15.75" customHeight="1">
      <c r="A67" s="267" t="s">
        <v>9</v>
      </c>
      <c r="B67" s="336">
        <v>12.250649453122533</v>
      </c>
      <c r="C67" s="336">
        <v>0.25905825008087646</v>
      </c>
      <c r="D67" s="337">
        <v>14.078167872785452</v>
      </c>
      <c r="E67" s="336">
        <v>1.6494301704669982</v>
      </c>
      <c r="F67" s="337">
        <v>12.748624689001161</v>
      </c>
      <c r="G67" s="338">
        <v>0.33829729921333912</v>
      </c>
      <c r="H67" s="337">
        <v>13.720607502527413</v>
      </c>
      <c r="I67" s="338">
        <v>0.10339034221697364</v>
      </c>
    </row>
    <row r="68" spans="1:9" ht="15.75" customHeight="1"/>
    <row r="69" spans="1:9" ht="15.75" customHeight="1"/>
    <row r="70" spans="1:9" ht="15.75" customHeight="1">
      <c r="A70" s="12" t="s">
        <v>361</v>
      </c>
    </row>
    <row r="71" spans="1:9" ht="15.75" customHeight="1">
      <c r="A71" s="575"/>
    </row>
    <row r="72" spans="1:9" ht="15.75" customHeight="1">
      <c r="A72" s="683" t="s">
        <v>0</v>
      </c>
      <c r="B72" s="686" t="s">
        <v>236</v>
      </c>
      <c r="C72" s="687"/>
      <c r="D72" s="687"/>
      <c r="E72" s="687"/>
      <c r="F72" s="687"/>
      <c r="G72" s="687"/>
      <c r="H72" s="687"/>
      <c r="I72" s="688"/>
    </row>
    <row r="73" spans="1:9" ht="15.75" customHeight="1">
      <c r="A73" s="684"/>
      <c r="B73" s="689" t="s">
        <v>237</v>
      </c>
      <c r="C73" s="690"/>
      <c r="D73" s="689" t="s">
        <v>238</v>
      </c>
      <c r="E73" s="690"/>
      <c r="F73" s="689" t="s">
        <v>239</v>
      </c>
      <c r="G73" s="690"/>
      <c r="H73" s="689" t="s">
        <v>240</v>
      </c>
      <c r="I73" s="690"/>
    </row>
    <row r="74" spans="1:9" ht="15.75" customHeight="1">
      <c r="A74" s="685"/>
      <c r="B74" s="302" t="s">
        <v>241</v>
      </c>
      <c r="C74" s="302" t="s">
        <v>242</v>
      </c>
      <c r="D74" s="302" t="s">
        <v>241</v>
      </c>
      <c r="E74" s="325" t="s">
        <v>242</v>
      </c>
      <c r="F74" s="302" t="s">
        <v>241</v>
      </c>
      <c r="G74" s="325" t="s">
        <v>242</v>
      </c>
      <c r="H74" s="302" t="s">
        <v>241</v>
      </c>
      <c r="I74" s="302" t="s">
        <v>242</v>
      </c>
    </row>
    <row r="75" spans="1:9" ht="15.75" hidden="1" customHeight="1">
      <c r="A75" s="266" t="s">
        <v>220</v>
      </c>
      <c r="B75" s="339"/>
      <c r="C75" s="339"/>
      <c r="D75" s="340"/>
      <c r="E75" s="339"/>
      <c r="F75" s="340"/>
      <c r="G75" s="341"/>
      <c r="H75" s="340"/>
      <c r="I75" s="341"/>
    </row>
    <row r="76" spans="1:9" ht="15.75" customHeight="1">
      <c r="A76" s="266" t="s">
        <v>4</v>
      </c>
      <c r="B76" s="326"/>
      <c r="C76" s="327"/>
      <c r="D76" s="326"/>
      <c r="E76" s="327"/>
      <c r="F76" s="326"/>
      <c r="G76" s="327"/>
      <c r="H76" s="326"/>
      <c r="I76" s="327"/>
    </row>
    <row r="77" spans="1:9" ht="15.75" customHeight="1">
      <c r="A77" s="266" t="s">
        <v>222</v>
      </c>
      <c r="B77" s="29"/>
      <c r="C77" s="29"/>
      <c r="D77" s="328"/>
      <c r="E77" s="29"/>
      <c r="F77" s="328"/>
      <c r="G77" s="329"/>
      <c r="H77" s="328"/>
      <c r="I77" s="329"/>
    </row>
    <row r="78" spans="1:9" ht="15.75" customHeight="1">
      <c r="A78" s="266" t="s">
        <v>223</v>
      </c>
      <c r="B78" s="147">
        <v>10.550160314581062</v>
      </c>
      <c r="C78" s="263">
        <v>4.2367915356963959</v>
      </c>
      <c r="D78" s="330">
        <v>10.080629701511373</v>
      </c>
      <c r="E78" s="263">
        <v>6.4256467641807413</v>
      </c>
      <c r="F78" s="330">
        <v>10.532455852850815</v>
      </c>
      <c r="G78" s="331">
        <v>7.6934281065342836</v>
      </c>
      <c r="H78" s="330">
        <v>11.53</v>
      </c>
      <c r="I78" s="331">
        <v>12.43</v>
      </c>
    </row>
    <row r="79" spans="1:9" ht="15.75" customHeight="1">
      <c r="A79" s="266" t="s">
        <v>6</v>
      </c>
      <c r="B79" s="263">
        <v>5.0899960638757502</v>
      </c>
      <c r="C79" s="335">
        <v>2.2216563856931999</v>
      </c>
      <c r="D79" s="263">
        <v>3.5334660583312902</v>
      </c>
      <c r="E79" s="335">
        <v>1.8428743442172799</v>
      </c>
      <c r="F79" s="263">
        <v>2.9254125619491598</v>
      </c>
      <c r="G79" s="263">
        <v>2.1457003823637697</v>
      </c>
      <c r="H79" s="334">
        <v>2.2776960107458897</v>
      </c>
      <c r="I79" s="335">
        <v>1.25502030712938</v>
      </c>
    </row>
    <row r="80" spans="1:9" ht="15.75" customHeight="1">
      <c r="A80" s="266" t="s">
        <v>224</v>
      </c>
      <c r="B80" s="334">
        <v>8.4779622671724564</v>
      </c>
      <c r="C80" s="263">
        <v>4.3686708461181833</v>
      </c>
      <c r="D80" s="334">
        <v>7.7692016538829289</v>
      </c>
      <c r="E80" s="263">
        <v>4.1554557147930327</v>
      </c>
      <c r="F80" s="334">
        <v>5.5441023395558675</v>
      </c>
      <c r="G80" s="263">
        <v>2.1687376511721812</v>
      </c>
      <c r="H80" s="334">
        <v>2.5058161472351737</v>
      </c>
      <c r="I80" s="335">
        <v>0.42367626158195115</v>
      </c>
    </row>
    <row r="81" spans="1:9" ht="15.75" customHeight="1">
      <c r="A81" s="266" t="s">
        <v>369</v>
      </c>
      <c r="B81" s="147">
        <v>6.0649999999999995</v>
      </c>
      <c r="C81" s="147">
        <v>6.1</v>
      </c>
      <c r="D81" s="330">
        <v>5.5250000000000004</v>
      </c>
      <c r="E81" s="147">
        <v>5.56</v>
      </c>
      <c r="F81" s="330">
        <v>4.9800000000000004</v>
      </c>
      <c r="G81" s="331">
        <v>5.0149999999999997</v>
      </c>
      <c r="H81" s="330">
        <v>4.165</v>
      </c>
      <c r="I81" s="331">
        <v>4.2</v>
      </c>
    </row>
    <row r="82" spans="1:9" ht="15.75" customHeight="1">
      <c r="A82" s="266" t="s">
        <v>363</v>
      </c>
      <c r="B82" s="263">
        <v>6.1989999999999998</v>
      </c>
      <c r="C82" s="147"/>
      <c r="D82" s="334">
        <v>4.9450000000000003</v>
      </c>
      <c r="E82" s="147"/>
      <c r="F82" s="342">
        <v>4.22</v>
      </c>
      <c r="G82" s="331"/>
      <c r="H82" s="334">
        <v>3.8130000000000002</v>
      </c>
      <c r="I82" s="331"/>
    </row>
    <row r="83" spans="1:9" ht="15.75" customHeight="1">
      <c r="A83" s="266" t="s">
        <v>8</v>
      </c>
      <c r="B83" s="263">
        <v>9.0848999999999993</v>
      </c>
      <c r="C83" s="263">
        <v>5.7272999999999996</v>
      </c>
      <c r="D83" s="334">
        <v>3.6429000000000005</v>
      </c>
      <c r="E83" s="263">
        <v>6.989999999999999E-2</v>
      </c>
      <c r="F83" s="334">
        <v>4.7120000000000006</v>
      </c>
      <c r="G83" s="335">
        <v>1.179</v>
      </c>
      <c r="H83" s="334">
        <v>5.6581000000000001</v>
      </c>
      <c r="I83" s="335">
        <v>1.2071000000000001</v>
      </c>
    </row>
    <row r="84" spans="1:9" ht="15.75" customHeight="1">
      <c r="A84" s="266" t="s">
        <v>225</v>
      </c>
      <c r="B84" s="237" t="s">
        <v>365</v>
      </c>
      <c r="C84" s="237" t="s">
        <v>365</v>
      </c>
      <c r="D84" s="343" t="s">
        <v>365</v>
      </c>
      <c r="E84" s="237" t="s">
        <v>365</v>
      </c>
      <c r="F84" s="343" t="s">
        <v>365</v>
      </c>
      <c r="G84" s="344" t="s">
        <v>365</v>
      </c>
      <c r="H84" s="343" t="s">
        <v>365</v>
      </c>
      <c r="I84" s="344" t="s">
        <v>365</v>
      </c>
    </row>
    <row r="85" spans="1:9" ht="15.75" customHeight="1">
      <c r="A85" s="267" t="s">
        <v>9</v>
      </c>
      <c r="B85" s="336">
        <v>12.518262042972882</v>
      </c>
      <c r="C85" s="336">
        <v>0.46934058622691843</v>
      </c>
      <c r="D85" s="337">
        <v>11.635374266985888</v>
      </c>
      <c r="E85" s="336">
        <v>-0.60630473982266064</v>
      </c>
      <c r="F85" s="337">
        <v>10.175542944407411</v>
      </c>
      <c r="G85" s="338">
        <v>-1.234483236172923</v>
      </c>
      <c r="H85" s="337">
        <v>12.801659825608237</v>
      </c>
      <c r="I85" s="338">
        <v>2.6736964234532534</v>
      </c>
    </row>
    <row r="86" spans="1:9" ht="15.75" customHeight="1"/>
    <row r="87" spans="1:9" ht="15.75" customHeight="1"/>
    <row r="88" spans="1:9" ht="15.75" customHeight="1">
      <c r="A88" s="12" t="s">
        <v>378</v>
      </c>
    </row>
    <row r="89" spans="1:9" ht="15.75" customHeight="1">
      <c r="A89" s="575"/>
    </row>
    <row r="90" spans="1:9" ht="15.75" customHeight="1">
      <c r="A90" s="683" t="s">
        <v>0</v>
      </c>
      <c r="B90" s="686" t="s">
        <v>236</v>
      </c>
      <c r="C90" s="687"/>
      <c r="D90" s="687"/>
      <c r="E90" s="687"/>
      <c r="F90" s="687"/>
      <c r="G90" s="687"/>
      <c r="H90" s="687"/>
      <c r="I90" s="688"/>
    </row>
    <row r="91" spans="1:9" ht="15.75" customHeight="1">
      <c r="A91" s="684"/>
      <c r="B91" s="689" t="s">
        <v>237</v>
      </c>
      <c r="C91" s="690"/>
      <c r="D91" s="689" t="s">
        <v>238</v>
      </c>
      <c r="E91" s="690"/>
      <c r="F91" s="689" t="s">
        <v>239</v>
      </c>
      <c r="G91" s="690"/>
      <c r="H91" s="689" t="s">
        <v>240</v>
      </c>
      <c r="I91" s="690"/>
    </row>
    <row r="92" spans="1:9" ht="15.75" customHeight="1">
      <c r="A92" s="685"/>
      <c r="B92" s="302" t="s">
        <v>241</v>
      </c>
      <c r="C92" s="302" t="s">
        <v>242</v>
      </c>
      <c r="D92" s="302" t="s">
        <v>241</v>
      </c>
      <c r="E92" s="325" t="s">
        <v>242</v>
      </c>
      <c r="F92" s="302" t="s">
        <v>241</v>
      </c>
      <c r="G92" s="325" t="s">
        <v>242</v>
      </c>
      <c r="H92" s="302" t="s">
        <v>241</v>
      </c>
      <c r="I92" s="302" t="s">
        <v>242</v>
      </c>
    </row>
    <row r="93" spans="1:9" ht="15.75" customHeight="1">
      <c r="A93" s="266" t="s">
        <v>220</v>
      </c>
      <c r="B93" s="339"/>
      <c r="C93" s="339"/>
      <c r="D93" s="340"/>
      <c r="E93" s="339"/>
      <c r="F93" s="340"/>
      <c r="G93" s="341"/>
      <c r="H93" s="340"/>
      <c r="I93" s="341"/>
    </row>
    <row r="94" spans="1:9" ht="15.75" customHeight="1">
      <c r="A94" s="266" t="s">
        <v>4</v>
      </c>
      <c r="B94" s="326">
        <v>6.95</v>
      </c>
      <c r="C94" s="327">
        <v>3.15</v>
      </c>
      <c r="D94" s="326">
        <v>7.95</v>
      </c>
      <c r="E94" s="327">
        <v>4.41</v>
      </c>
      <c r="F94" s="326">
        <v>8.58</v>
      </c>
      <c r="G94" s="327">
        <v>4.24</v>
      </c>
      <c r="H94" s="326">
        <v>4.59</v>
      </c>
      <c r="I94" s="327">
        <v>1.74</v>
      </c>
    </row>
    <row r="95" spans="1:9" ht="15.75" customHeight="1">
      <c r="A95" s="266" t="s">
        <v>222</v>
      </c>
      <c r="B95" s="29">
        <v>9.6199999999999992</v>
      </c>
      <c r="C95" s="29">
        <v>5.14</v>
      </c>
      <c r="D95" s="328">
        <v>7.78</v>
      </c>
      <c r="E95" s="29">
        <v>3.56</v>
      </c>
      <c r="F95" s="328">
        <v>7.96</v>
      </c>
      <c r="G95" s="329">
        <v>2.4500000000000002</v>
      </c>
      <c r="H95" s="328">
        <v>9.69</v>
      </c>
      <c r="I95" s="329">
        <v>3.73</v>
      </c>
    </row>
    <row r="96" spans="1:9" ht="15.75" customHeight="1">
      <c r="A96" s="266" t="s">
        <v>223</v>
      </c>
      <c r="B96" s="147">
        <v>8.9499999999999993</v>
      </c>
      <c r="C96" s="147">
        <v>3.33</v>
      </c>
      <c r="D96" s="330">
        <v>9.7899999999999991</v>
      </c>
      <c r="E96" s="147">
        <v>8.3699999999999992</v>
      </c>
      <c r="F96" s="330">
        <v>8.77</v>
      </c>
      <c r="G96" s="331">
        <v>8.24</v>
      </c>
      <c r="H96" s="334">
        <v>7.64</v>
      </c>
      <c r="I96" s="335">
        <v>6.83</v>
      </c>
    </row>
    <row r="97" spans="1:9" ht="15.75" customHeight="1">
      <c r="A97" s="266" t="s">
        <v>6</v>
      </c>
      <c r="B97" s="263">
        <v>4.7503286946573304</v>
      </c>
      <c r="C97" s="335">
        <v>2.598831204303087</v>
      </c>
      <c r="D97" s="263">
        <v>3.7353148123496398</v>
      </c>
      <c r="E97" s="335">
        <v>3.2952769326166864</v>
      </c>
      <c r="F97" s="263">
        <v>3.41298362080832</v>
      </c>
      <c r="G97" s="263">
        <v>3.2237400972966013</v>
      </c>
      <c r="H97" s="334">
        <v>3.7065444195918</v>
      </c>
      <c r="I97" s="335">
        <v>4.690636401768411</v>
      </c>
    </row>
    <row r="98" spans="1:9" ht="15.75" customHeight="1">
      <c r="A98" s="266" t="s">
        <v>224</v>
      </c>
      <c r="B98" s="334">
        <v>7.7085003967277501</v>
      </c>
      <c r="C98" s="263">
        <v>3.7071939861011636</v>
      </c>
      <c r="D98" s="334">
        <v>7.2539382342987473</v>
      </c>
      <c r="E98" s="263">
        <v>3.7113113755021905</v>
      </c>
      <c r="F98" s="334">
        <v>5.7343692502315218</v>
      </c>
      <c r="G98" s="263">
        <v>2.4861797830351113</v>
      </c>
      <c r="H98" s="334">
        <v>3.7386525799231149</v>
      </c>
      <c r="I98" s="335">
        <v>0.41447072002296537</v>
      </c>
    </row>
    <row r="99" spans="1:9" ht="15.75" customHeight="1">
      <c r="A99" s="266" t="s">
        <v>369</v>
      </c>
      <c r="B99" s="147">
        <v>5.73</v>
      </c>
      <c r="C99" s="147">
        <v>4.93</v>
      </c>
      <c r="D99" s="330">
        <v>5.5</v>
      </c>
      <c r="E99" s="147">
        <v>4.7</v>
      </c>
      <c r="F99" s="330">
        <v>5.08</v>
      </c>
      <c r="G99" s="331">
        <v>4.28</v>
      </c>
      <c r="H99" s="330">
        <v>5.74</v>
      </c>
      <c r="I99" s="331">
        <v>4.9400000000000004</v>
      </c>
    </row>
    <row r="100" spans="1:9" ht="15.75" customHeight="1">
      <c r="A100" s="266" t="s">
        <v>363</v>
      </c>
      <c r="B100" s="263">
        <v>5.9710000000000001</v>
      </c>
      <c r="C100" s="147"/>
      <c r="D100" s="334">
        <v>4.5620000000000003</v>
      </c>
      <c r="E100" s="147"/>
      <c r="F100" s="342">
        <v>4.7359999999999998</v>
      </c>
      <c r="G100" s="331"/>
      <c r="H100" s="334">
        <v>4.8250000000000002</v>
      </c>
      <c r="I100" s="331"/>
    </row>
    <row r="101" spans="1:9" ht="15.75" customHeight="1">
      <c r="A101" s="266" t="s">
        <v>8</v>
      </c>
      <c r="B101" s="263">
        <v>7.4136999999999995</v>
      </c>
      <c r="C101" s="263">
        <v>3.8941000000000003</v>
      </c>
      <c r="D101" s="334">
        <v>7.0990000000000002</v>
      </c>
      <c r="E101" s="263">
        <v>3.7062999999999997</v>
      </c>
      <c r="F101" s="334">
        <v>8.1508000000000003</v>
      </c>
      <c r="G101" s="335">
        <v>4.375</v>
      </c>
      <c r="H101" s="334">
        <v>9.9406999999999996</v>
      </c>
      <c r="I101" s="335">
        <v>6.4957000000000003</v>
      </c>
    </row>
    <row r="102" spans="1:9" ht="15.75" customHeight="1">
      <c r="A102" s="266" t="s">
        <v>225</v>
      </c>
      <c r="B102" s="345">
        <v>11.784804864282112</v>
      </c>
      <c r="C102" s="345">
        <v>6.8385479208707185</v>
      </c>
      <c r="D102" s="346">
        <v>11.999778301197059</v>
      </c>
      <c r="E102" s="345">
        <v>9.0809332538252931</v>
      </c>
      <c r="F102" s="346">
        <v>10.732699129743979</v>
      </c>
      <c r="G102" s="347">
        <v>8.7165813546142186</v>
      </c>
      <c r="H102" s="346">
        <v>9.8296355318721993</v>
      </c>
      <c r="I102" s="347">
        <v>7.998695035488228</v>
      </c>
    </row>
    <row r="103" spans="1:9" ht="15.75" customHeight="1">
      <c r="A103" s="267" t="s">
        <v>9</v>
      </c>
      <c r="B103" s="336">
        <v>11.692337924812657</v>
      </c>
      <c r="C103" s="336">
        <v>-0.28213715910236914</v>
      </c>
      <c r="D103" s="337">
        <v>11.7460592714</v>
      </c>
      <c r="E103" s="336">
        <v>0.32743568941311363</v>
      </c>
      <c r="F103" s="337">
        <v>11.3993270537686</v>
      </c>
      <c r="G103" s="338">
        <v>0.24039859842071021</v>
      </c>
      <c r="H103" s="337">
        <v>8.5708535482259975</v>
      </c>
      <c r="I103" s="338">
        <v>-1.519474307966473</v>
      </c>
    </row>
    <row r="104" spans="1:9" ht="15.75" customHeight="1"/>
    <row r="105" spans="1:9" ht="15.75" customHeight="1"/>
    <row r="106" spans="1:9" ht="15.75" customHeight="1">
      <c r="A106" s="12" t="s">
        <v>390</v>
      </c>
    </row>
    <row r="107" spans="1:9" ht="15.75" customHeight="1">
      <c r="A107" s="575"/>
    </row>
    <row r="108" spans="1:9" ht="15.75" customHeight="1">
      <c r="A108" s="683" t="s">
        <v>0</v>
      </c>
      <c r="B108" s="686" t="s">
        <v>236</v>
      </c>
      <c r="C108" s="687"/>
      <c r="D108" s="687"/>
      <c r="E108" s="687"/>
      <c r="F108" s="687"/>
      <c r="G108" s="687"/>
      <c r="H108" s="687"/>
      <c r="I108" s="688"/>
    </row>
    <row r="109" spans="1:9" ht="15.75" customHeight="1">
      <c r="A109" s="684"/>
      <c r="B109" s="689" t="s">
        <v>237</v>
      </c>
      <c r="C109" s="690"/>
      <c r="D109" s="689" t="s">
        <v>238</v>
      </c>
      <c r="E109" s="690"/>
      <c r="F109" s="689" t="s">
        <v>239</v>
      </c>
      <c r="G109" s="690"/>
      <c r="H109" s="689" t="s">
        <v>240</v>
      </c>
      <c r="I109" s="690"/>
    </row>
    <row r="110" spans="1:9" ht="15.75" customHeight="1">
      <c r="A110" s="685"/>
      <c r="B110" s="302" t="s">
        <v>241</v>
      </c>
      <c r="C110" s="302" t="s">
        <v>242</v>
      </c>
      <c r="D110" s="302" t="s">
        <v>241</v>
      </c>
      <c r="E110" s="325" t="s">
        <v>242</v>
      </c>
      <c r="F110" s="302" t="s">
        <v>241</v>
      </c>
      <c r="G110" s="325" t="s">
        <v>242</v>
      </c>
      <c r="H110" s="302" t="s">
        <v>241</v>
      </c>
      <c r="I110" s="302" t="s">
        <v>242</v>
      </c>
    </row>
    <row r="111" spans="1:9">
      <c r="A111" s="266" t="s">
        <v>220</v>
      </c>
      <c r="B111" s="339"/>
      <c r="C111" s="339"/>
      <c r="D111" s="340"/>
      <c r="E111" s="339"/>
      <c r="F111" s="340"/>
      <c r="G111" s="341"/>
      <c r="H111" s="340"/>
      <c r="I111" s="341"/>
    </row>
    <row r="112" spans="1:9">
      <c r="A112" s="266" t="s">
        <v>4</v>
      </c>
      <c r="B112" s="36">
        <v>6.68</v>
      </c>
      <c r="C112" s="333">
        <v>3.41</v>
      </c>
      <c r="D112" s="36">
        <v>8.4</v>
      </c>
      <c r="E112" s="333">
        <v>4.99</v>
      </c>
      <c r="F112" s="36">
        <v>6.75</v>
      </c>
      <c r="G112" s="333">
        <v>3.79</v>
      </c>
      <c r="H112" s="36">
        <v>9.34</v>
      </c>
      <c r="I112" s="333">
        <v>7.51</v>
      </c>
    </row>
    <row r="113" spans="1:9">
      <c r="A113" s="266" t="s">
        <v>222</v>
      </c>
      <c r="B113" s="36">
        <v>10.43</v>
      </c>
      <c r="C113" s="36">
        <v>6.08</v>
      </c>
      <c r="D113" s="332">
        <v>7.58</v>
      </c>
      <c r="E113" s="36">
        <v>3.03</v>
      </c>
      <c r="F113" s="332">
        <v>9.25</v>
      </c>
      <c r="G113" s="333">
        <v>3.52</v>
      </c>
      <c r="H113" s="332">
        <v>14.87</v>
      </c>
      <c r="I113" s="333">
        <v>10.35</v>
      </c>
    </row>
    <row r="114" spans="1:9">
      <c r="A114" s="266" t="s">
        <v>223</v>
      </c>
      <c r="B114" s="36">
        <v>8.89</v>
      </c>
      <c r="C114" s="36">
        <v>4.32</v>
      </c>
      <c r="D114" s="332">
        <v>9.14</v>
      </c>
      <c r="E114" s="36">
        <v>6.74</v>
      </c>
      <c r="F114" s="332">
        <v>8.5299999999999994</v>
      </c>
      <c r="G114" s="333">
        <v>7.63</v>
      </c>
      <c r="H114" s="332">
        <v>6.49</v>
      </c>
      <c r="I114" s="333">
        <v>3.84</v>
      </c>
    </row>
    <row r="115" spans="1:9">
      <c r="A115" s="266" t="s">
        <v>6</v>
      </c>
      <c r="B115" s="334">
        <v>3.8012086895345298</v>
      </c>
      <c r="C115" s="263">
        <v>2.1221575412401701</v>
      </c>
      <c r="D115" s="334">
        <v>3.3816144805078099</v>
      </c>
      <c r="E115" s="263">
        <v>2.69195486112908</v>
      </c>
      <c r="F115" s="334">
        <v>3.5482650412697199</v>
      </c>
      <c r="G115" s="263">
        <v>2.8301929127273699</v>
      </c>
      <c r="H115" s="334">
        <v>4.6660338015384699</v>
      </c>
      <c r="I115" s="335">
        <v>2.57851698392439</v>
      </c>
    </row>
    <row r="116" spans="1:9">
      <c r="A116" s="266" t="s">
        <v>224</v>
      </c>
      <c r="B116" s="334">
        <v>8.0653321254106984</v>
      </c>
      <c r="C116" s="263">
        <v>3.7746569411740118</v>
      </c>
      <c r="D116" s="334">
        <v>6.1171882904798425</v>
      </c>
      <c r="E116" s="263">
        <v>2.0825360425771828</v>
      </c>
      <c r="F116" s="334">
        <v>5.2478565350266901</v>
      </c>
      <c r="G116" s="263">
        <v>1.2244373689751902</v>
      </c>
      <c r="H116" s="334">
        <v>10.111886268037244</v>
      </c>
      <c r="I116" s="335">
        <v>3.3097616139450281</v>
      </c>
    </row>
    <row r="117" spans="1:9">
      <c r="A117" s="266" t="s">
        <v>369</v>
      </c>
      <c r="B117" s="263">
        <v>5.59</v>
      </c>
      <c r="C117" s="263">
        <v>5.37</v>
      </c>
      <c r="D117" s="334">
        <v>5.3</v>
      </c>
      <c r="E117" s="263">
        <v>4.9800000000000004</v>
      </c>
      <c r="F117" s="334">
        <v>5.22</v>
      </c>
      <c r="G117" s="335">
        <v>4.9000000000000004</v>
      </c>
      <c r="H117" s="334">
        <v>5.75</v>
      </c>
      <c r="I117" s="335">
        <v>5.43</v>
      </c>
    </row>
    <row r="118" spans="1:9">
      <c r="A118" s="266" t="s">
        <v>363</v>
      </c>
      <c r="B118" s="263">
        <v>3.2</v>
      </c>
      <c r="C118" s="263"/>
      <c r="D118" s="334">
        <v>4.5</v>
      </c>
      <c r="E118" s="263"/>
      <c r="F118" s="334">
        <v>4.5</v>
      </c>
      <c r="G118" s="335"/>
      <c r="H118" s="334">
        <v>4.8</v>
      </c>
      <c r="I118" s="335"/>
    </row>
    <row r="119" spans="1:9">
      <c r="A119" s="266" t="s">
        <v>8</v>
      </c>
      <c r="B119" s="263">
        <v>6.2271000000000001</v>
      </c>
      <c r="C119" s="263">
        <v>3.0032000000000001</v>
      </c>
      <c r="D119" s="334">
        <v>7.1508000000000003</v>
      </c>
      <c r="E119" s="263">
        <v>4.0181000000000004</v>
      </c>
      <c r="F119" s="334">
        <v>9.139899999999999</v>
      </c>
      <c r="G119" s="335">
        <v>5.9696999999999996</v>
      </c>
      <c r="H119" s="334">
        <v>11.920300000000001</v>
      </c>
      <c r="I119" s="335">
        <v>10.4133</v>
      </c>
    </row>
    <row r="120" spans="1:9">
      <c r="A120" s="266" t="s">
        <v>225</v>
      </c>
      <c r="B120" s="345">
        <v>11.96</v>
      </c>
      <c r="C120" s="345">
        <v>7.5</v>
      </c>
      <c r="D120" s="346">
        <v>11.25</v>
      </c>
      <c r="E120" s="345">
        <v>8.3000000000000007</v>
      </c>
      <c r="F120" s="346">
        <v>10.28</v>
      </c>
      <c r="G120" s="347">
        <v>7.38</v>
      </c>
      <c r="H120" s="346">
        <v>10.82</v>
      </c>
      <c r="I120" s="347">
        <v>5.15</v>
      </c>
    </row>
    <row r="121" spans="1:9">
      <c r="A121" s="267" t="s">
        <v>9</v>
      </c>
      <c r="B121" s="336">
        <v>13.33</v>
      </c>
      <c r="C121" s="336">
        <v>3.11</v>
      </c>
      <c r="D121" s="337">
        <v>12.96</v>
      </c>
      <c r="E121" s="336">
        <v>1.82</v>
      </c>
      <c r="F121" s="337">
        <v>15.45</v>
      </c>
      <c r="G121" s="338">
        <v>5.07</v>
      </c>
      <c r="H121" s="337">
        <v>26.04</v>
      </c>
      <c r="I121" s="338">
        <v>14.79</v>
      </c>
    </row>
    <row r="123" spans="1:9">
      <c r="A123" s="12" t="s">
        <v>426</v>
      </c>
    </row>
    <row r="124" spans="1:9">
      <c r="A124" s="575"/>
    </row>
    <row r="125" spans="1:9">
      <c r="A125" s="683" t="s">
        <v>0</v>
      </c>
      <c r="B125" s="686" t="s">
        <v>236</v>
      </c>
      <c r="C125" s="687"/>
      <c r="D125" s="687"/>
      <c r="E125" s="687"/>
      <c r="F125" s="687"/>
      <c r="G125" s="687"/>
      <c r="H125" s="687"/>
      <c r="I125" s="688"/>
    </row>
    <row r="126" spans="1:9">
      <c r="A126" s="684"/>
      <c r="B126" s="689" t="s">
        <v>237</v>
      </c>
      <c r="C126" s="690"/>
      <c r="D126" s="689" t="s">
        <v>238</v>
      </c>
      <c r="E126" s="690"/>
      <c r="F126" s="689" t="s">
        <v>239</v>
      </c>
      <c r="G126" s="690"/>
      <c r="H126" s="689" t="s">
        <v>240</v>
      </c>
      <c r="I126" s="690"/>
    </row>
    <row r="127" spans="1:9">
      <c r="A127" s="685"/>
      <c r="B127" s="302" t="s">
        <v>241</v>
      </c>
      <c r="C127" s="302" t="s">
        <v>242</v>
      </c>
      <c r="D127" s="302" t="s">
        <v>241</v>
      </c>
      <c r="E127" s="325" t="s">
        <v>242</v>
      </c>
      <c r="F127" s="302" t="s">
        <v>241</v>
      </c>
      <c r="G127" s="325" t="s">
        <v>242</v>
      </c>
      <c r="H127" s="302" t="s">
        <v>241</v>
      </c>
      <c r="I127" s="302" t="s">
        <v>242</v>
      </c>
    </row>
    <row r="128" spans="1:9">
      <c r="A128" s="266" t="s">
        <v>4</v>
      </c>
      <c r="B128" s="36">
        <v>8.18</v>
      </c>
      <c r="C128" s="333">
        <v>5.5</v>
      </c>
      <c r="D128" s="36">
        <v>7.39</v>
      </c>
      <c r="E128" s="333">
        <v>3.85</v>
      </c>
      <c r="F128" s="36">
        <v>5.27</v>
      </c>
      <c r="G128" s="333">
        <v>2.74</v>
      </c>
      <c r="H128" s="36">
        <v>1.95</v>
      </c>
      <c r="I128" s="333">
        <v>-0.89</v>
      </c>
    </row>
    <row r="129" spans="1:9">
      <c r="A129" s="266" t="s">
        <v>222</v>
      </c>
      <c r="B129" s="36"/>
      <c r="C129" s="36"/>
      <c r="D129" s="332"/>
      <c r="E129" s="36"/>
      <c r="F129" s="332"/>
      <c r="G129" s="333"/>
      <c r="H129" s="332"/>
      <c r="I129" s="333"/>
    </row>
    <row r="130" spans="1:9">
      <c r="A130" s="266" t="s">
        <v>223</v>
      </c>
      <c r="B130" s="36">
        <v>9.2200000000000006</v>
      </c>
      <c r="C130" s="36">
        <v>5.81</v>
      </c>
      <c r="D130" s="332">
        <v>7.79</v>
      </c>
      <c r="E130" s="36">
        <v>5.76</v>
      </c>
      <c r="F130" s="332">
        <v>6.79</v>
      </c>
      <c r="G130" s="333">
        <v>4.91</v>
      </c>
      <c r="H130" s="332">
        <v>4.09</v>
      </c>
      <c r="I130" s="333">
        <v>4.8499999999999996</v>
      </c>
    </row>
    <row r="131" spans="1:9">
      <c r="A131" s="266" t="s">
        <v>6</v>
      </c>
      <c r="B131" s="263">
        <v>3.9040442970686402</v>
      </c>
      <c r="C131" s="335">
        <v>2.7254934715492674</v>
      </c>
      <c r="D131" s="263">
        <v>3.7494267261773766</v>
      </c>
      <c r="E131" s="335">
        <v>3.1285983407006945</v>
      </c>
      <c r="F131" s="263">
        <v>4.183062475676194</v>
      </c>
      <c r="G131" s="263">
        <v>3.6578025885593224</v>
      </c>
      <c r="H131" s="334">
        <v>4.1769338624769077</v>
      </c>
      <c r="I131" s="335">
        <v>3.722377338945182</v>
      </c>
    </row>
    <row r="132" spans="1:9">
      <c r="A132" s="266" t="s">
        <v>224</v>
      </c>
      <c r="B132" s="263">
        <v>8.1986418048160541</v>
      </c>
      <c r="C132" s="335">
        <v>4.0410546137544792</v>
      </c>
      <c r="D132" s="263">
        <v>5.4502238201320248</v>
      </c>
      <c r="E132" s="335">
        <v>1.2190202232134524</v>
      </c>
      <c r="F132" s="263">
        <v>4.7639707450857802</v>
      </c>
      <c r="G132" s="263">
        <v>-0.13921098756545003</v>
      </c>
      <c r="H132" s="334">
        <v>0.85455555322973953</v>
      </c>
      <c r="I132" s="335">
        <v>-3.8394318609036553</v>
      </c>
    </row>
    <row r="133" spans="1:9">
      <c r="A133" s="266" t="s">
        <v>369</v>
      </c>
      <c r="B133" s="263">
        <v>5.46</v>
      </c>
      <c r="C133" s="263">
        <v>5.57</v>
      </c>
      <c r="D133" s="334">
        <v>4.91</v>
      </c>
      <c r="E133" s="263">
        <v>5.01</v>
      </c>
      <c r="F133" s="334">
        <v>5</v>
      </c>
      <c r="G133" s="335">
        <v>5.1100000000000003</v>
      </c>
      <c r="H133" s="334">
        <v>3.76</v>
      </c>
      <c r="I133" s="335">
        <v>3.92</v>
      </c>
    </row>
    <row r="134" spans="1:9">
      <c r="A134" s="266" t="s">
        <v>363</v>
      </c>
      <c r="B134" s="263"/>
      <c r="C134" s="263"/>
      <c r="D134" s="334"/>
      <c r="E134" s="263"/>
      <c r="F134" s="334"/>
      <c r="G134" s="335"/>
      <c r="H134" s="334"/>
      <c r="I134" s="335"/>
    </row>
    <row r="135" spans="1:9">
      <c r="A135" s="266" t="s">
        <v>8</v>
      </c>
      <c r="B135" s="263">
        <v>8.6651000000000007</v>
      </c>
      <c r="C135" s="335">
        <v>5.8181000000000003</v>
      </c>
      <c r="D135" s="263">
        <v>6.92</v>
      </c>
      <c r="E135" s="335">
        <v>3.9293</v>
      </c>
      <c r="F135" s="263">
        <v>6.6890999999999998</v>
      </c>
      <c r="G135" s="263">
        <v>4.33</v>
      </c>
      <c r="H135" s="334">
        <v>-1.3029999999999999</v>
      </c>
      <c r="I135" s="335">
        <v>-3.4205000000000001</v>
      </c>
    </row>
    <row r="136" spans="1:9">
      <c r="A136" s="266" t="s">
        <v>225</v>
      </c>
      <c r="B136" s="263">
        <v>10.66</v>
      </c>
      <c r="C136" s="335">
        <v>6.61</v>
      </c>
      <c r="D136" s="263">
        <v>8.51</v>
      </c>
      <c r="E136" s="335">
        <v>6.2</v>
      </c>
      <c r="F136" s="263">
        <v>6.64</v>
      </c>
      <c r="G136" s="263">
        <v>4.2300000000000004</v>
      </c>
      <c r="H136" s="334">
        <v>7.76</v>
      </c>
      <c r="I136" s="335">
        <v>4.87</v>
      </c>
    </row>
    <row r="137" spans="1:9">
      <c r="A137" s="267" t="s">
        <v>9</v>
      </c>
      <c r="B137" s="336">
        <v>15.960879910158333</v>
      </c>
      <c r="C137" s="338">
        <v>4.2972496402417848</v>
      </c>
      <c r="D137" s="336">
        <v>13.445045781863918</v>
      </c>
      <c r="E137" s="338">
        <v>3.0523521738980319</v>
      </c>
      <c r="F137" s="336">
        <v>13.555041663233446</v>
      </c>
      <c r="G137" s="336">
        <v>4.0828548714348711</v>
      </c>
      <c r="H137" s="337">
        <v>8.1470202318443938</v>
      </c>
      <c r="I137" s="338">
        <v>0.81294374020595139</v>
      </c>
    </row>
    <row r="139" spans="1:9">
      <c r="A139" s="12" t="s">
        <v>448</v>
      </c>
    </row>
    <row r="140" spans="1:9">
      <c r="A140" s="575"/>
    </row>
    <row r="141" spans="1:9">
      <c r="A141" s="683" t="s">
        <v>0</v>
      </c>
      <c r="B141" s="686" t="s">
        <v>236</v>
      </c>
      <c r="C141" s="687"/>
      <c r="D141" s="687"/>
      <c r="E141" s="687"/>
      <c r="F141" s="687"/>
      <c r="G141" s="687"/>
      <c r="H141" s="687"/>
      <c r="I141" s="688"/>
    </row>
    <row r="142" spans="1:9">
      <c r="A142" s="684"/>
      <c r="B142" s="689" t="s">
        <v>237</v>
      </c>
      <c r="C142" s="690"/>
      <c r="D142" s="689" t="s">
        <v>238</v>
      </c>
      <c r="E142" s="690"/>
      <c r="F142" s="689" t="s">
        <v>239</v>
      </c>
      <c r="G142" s="690"/>
      <c r="H142" s="689" t="s">
        <v>240</v>
      </c>
      <c r="I142" s="690"/>
    </row>
    <row r="143" spans="1:9">
      <c r="A143" s="685"/>
      <c r="B143" s="302" t="s">
        <v>241</v>
      </c>
      <c r="C143" s="302" t="s">
        <v>242</v>
      </c>
      <c r="D143" s="302" t="s">
        <v>241</v>
      </c>
      <c r="E143" s="325" t="s">
        <v>242</v>
      </c>
      <c r="F143" s="302" t="s">
        <v>241</v>
      </c>
      <c r="G143" s="325" t="s">
        <v>242</v>
      </c>
      <c r="H143" s="302" t="s">
        <v>241</v>
      </c>
      <c r="I143" s="302" t="s">
        <v>242</v>
      </c>
    </row>
    <row r="144" spans="1:9">
      <c r="A144" s="266" t="s">
        <v>4</v>
      </c>
      <c r="B144" s="36">
        <v>8.0399999999999991</v>
      </c>
      <c r="C144" s="333">
        <v>4.83</v>
      </c>
      <c r="D144" s="36">
        <v>7.94</v>
      </c>
      <c r="E144" s="333">
        <v>4.97</v>
      </c>
      <c r="F144" s="36">
        <v>9.59</v>
      </c>
      <c r="G144" s="333">
        <v>7</v>
      </c>
      <c r="H144" s="36">
        <v>18.059999999999999</v>
      </c>
      <c r="I144" s="333">
        <v>14.96</v>
      </c>
    </row>
    <row r="145" spans="1:9">
      <c r="A145" s="266" t="s">
        <v>222</v>
      </c>
      <c r="B145" s="36"/>
      <c r="C145" s="36"/>
      <c r="D145" s="332"/>
      <c r="E145" s="36"/>
      <c r="F145" s="332"/>
      <c r="G145" s="333"/>
      <c r="H145" s="332"/>
      <c r="I145" s="333"/>
    </row>
    <row r="146" spans="1:9">
      <c r="A146" s="266" t="s">
        <v>223</v>
      </c>
      <c r="B146" s="36">
        <v>9.27</v>
      </c>
      <c r="C146" s="36">
        <v>6.11</v>
      </c>
      <c r="D146" s="332">
        <v>9.11</v>
      </c>
      <c r="E146" s="36">
        <v>7.83</v>
      </c>
      <c r="F146" s="332">
        <v>8.86</v>
      </c>
      <c r="G146" s="333">
        <v>6.68</v>
      </c>
      <c r="H146" s="332">
        <v>14.05</v>
      </c>
      <c r="I146" s="333">
        <v>12.34</v>
      </c>
    </row>
    <row r="147" spans="1:9">
      <c r="A147" s="266" t="s">
        <v>6</v>
      </c>
      <c r="B147" s="263">
        <v>3.9886809124428062</v>
      </c>
      <c r="C147" s="335">
        <v>2.7902591702356538</v>
      </c>
      <c r="D147" s="263">
        <v>4.2033987625878604</v>
      </c>
      <c r="E147" s="335">
        <v>3.6803588994090752</v>
      </c>
      <c r="F147" s="263">
        <v>5.0190757754333459</v>
      </c>
      <c r="G147" s="263">
        <v>4.1673453885443301</v>
      </c>
      <c r="H147" s="334">
        <v>6.2248735768600501</v>
      </c>
      <c r="I147" s="335">
        <v>6.234333446267537</v>
      </c>
    </row>
    <row r="148" spans="1:9">
      <c r="A148" s="266" t="s">
        <v>224</v>
      </c>
      <c r="B148" s="263">
        <v>8.2172094423367028</v>
      </c>
      <c r="C148" s="335">
        <v>4.1276476440463883</v>
      </c>
      <c r="D148" s="263">
        <v>6.3328478893949942</v>
      </c>
      <c r="E148" s="335">
        <v>2.3417772294331249</v>
      </c>
      <c r="F148" s="263">
        <v>8.4055613819625226</v>
      </c>
      <c r="G148" s="263">
        <v>3.5236018525683921</v>
      </c>
      <c r="H148" s="334">
        <v>15.291825623096539</v>
      </c>
      <c r="I148" s="335">
        <v>12.227886023972994</v>
      </c>
    </row>
    <row r="149" spans="1:9">
      <c r="A149" s="266" t="s">
        <v>369</v>
      </c>
      <c r="B149" s="263">
        <v>5.42</v>
      </c>
      <c r="C149" s="263">
        <v>5.5</v>
      </c>
      <c r="D149" s="334">
        <v>5.1100000000000003</v>
      </c>
      <c r="E149" s="263">
        <v>5.2</v>
      </c>
      <c r="F149" s="334">
        <v>5.24</v>
      </c>
      <c r="G149" s="335">
        <v>5.3</v>
      </c>
      <c r="H149" s="334">
        <v>6.39</v>
      </c>
      <c r="I149" s="335">
        <v>6.5</v>
      </c>
    </row>
    <row r="150" spans="1:9">
      <c r="A150" s="266" t="s">
        <v>363</v>
      </c>
      <c r="B150" s="263">
        <v>6.5</v>
      </c>
      <c r="C150" s="263"/>
      <c r="D150" s="334">
        <v>4.4000000000000004</v>
      </c>
      <c r="E150" s="263"/>
      <c r="F150" s="334">
        <v>4.5</v>
      </c>
      <c r="G150" s="335"/>
      <c r="H150" s="334">
        <v>5.8</v>
      </c>
      <c r="I150" s="335"/>
    </row>
    <row r="151" spans="1:9">
      <c r="A151" s="266" t="s">
        <v>8</v>
      </c>
      <c r="B151" s="263">
        <v>6.8693</v>
      </c>
      <c r="C151" s="335">
        <v>3.8990999999999998</v>
      </c>
      <c r="D151" s="263">
        <v>7.7102000000000004</v>
      </c>
      <c r="E151" s="335">
        <v>4.968</v>
      </c>
      <c r="F151" s="263">
        <v>7.6497000000000002</v>
      </c>
      <c r="G151" s="263">
        <v>5.7268999999999997</v>
      </c>
      <c r="H151" s="334">
        <v>12.920299999999999</v>
      </c>
      <c r="I151" s="335">
        <v>10.8147</v>
      </c>
    </row>
    <row r="152" spans="1:9">
      <c r="A152" s="266" t="s">
        <v>225</v>
      </c>
      <c r="B152" s="362">
        <v>11.125724320702627</v>
      </c>
      <c r="C152" s="363">
        <v>7.2829873063135473</v>
      </c>
      <c r="D152" s="362">
        <v>9.8521169434452389</v>
      </c>
      <c r="E152" s="363">
        <v>7.092163329132978</v>
      </c>
      <c r="F152" s="362">
        <v>9.5631061790973195</v>
      </c>
      <c r="G152" s="362">
        <v>6.4377080085695457</v>
      </c>
      <c r="H152" s="364">
        <v>10.809646211624585</v>
      </c>
      <c r="I152" s="363">
        <v>6.968278999999999</v>
      </c>
    </row>
    <row r="153" spans="1:9">
      <c r="A153" s="267" t="s">
        <v>9</v>
      </c>
      <c r="B153" s="336">
        <v>13.73</v>
      </c>
      <c r="C153" s="338">
        <v>2.7</v>
      </c>
      <c r="D153" s="336">
        <v>13.48</v>
      </c>
      <c r="E153" s="338">
        <v>3.86</v>
      </c>
      <c r="F153" s="336">
        <v>15.52</v>
      </c>
      <c r="G153" s="336">
        <v>6.14</v>
      </c>
      <c r="H153" s="337">
        <v>13.75</v>
      </c>
      <c r="I153" s="338">
        <v>3.95</v>
      </c>
    </row>
    <row r="155" spans="1:9">
      <c r="A155" s="12" t="s">
        <v>471</v>
      </c>
    </row>
    <row r="156" spans="1:9">
      <c r="A156" s="575"/>
    </row>
    <row r="157" spans="1:9">
      <c r="A157" s="683" t="s">
        <v>0</v>
      </c>
      <c r="B157" s="686" t="s">
        <v>236</v>
      </c>
      <c r="C157" s="687"/>
      <c r="D157" s="687"/>
      <c r="E157" s="687"/>
      <c r="F157" s="687"/>
      <c r="G157" s="687"/>
      <c r="H157" s="687"/>
      <c r="I157" s="688"/>
    </row>
    <row r="158" spans="1:9">
      <c r="A158" s="684"/>
      <c r="B158" s="689" t="s">
        <v>237</v>
      </c>
      <c r="C158" s="690"/>
      <c r="D158" s="689" t="s">
        <v>238</v>
      </c>
      <c r="E158" s="690"/>
      <c r="F158" s="689" t="s">
        <v>239</v>
      </c>
      <c r="G158" s="690"/>
      <c r="H158" s="689" t="s">
        <v>240</v>
      </c>
      <c r="I158" s="690"/>
    </row>
    <row r="159" spans="1:9">
      <c r="A159" s="685"/>
      <c r="B159" s="302" t="s">
        <v>241</v>
      </c>
      <c r="C159" s="302" t="s">
        <v>242</v>
      </c>
      <c r="D159" s="302" t="s">
        <v>241</v>
      </c>
      <c r="E159" s="325" t="s">
        <v>242</v>
      </c>
      <c r="F159" s="302" t="s">
        <v>241</v>
      </c>
      <c r="G159" s="325" t="s">
        <v>242</v>
      </c>
      <c r="H159" s="302" t="s">
        <v>241</v>
      </c>
      <c r="I159" s="302" t="s">
        <v>242</v>
      </c>
    </row>
    <row r="160" spans="1:9">
      <c r="A160" s="266" t="s">
        <v>4</v>
      </c>
      <c r="B160" s="72">
        <v>7.55</v>
      </c>
      <c r="C160" s="435">
        <v>4.33</v>
      </c>
      <c r="D160" s="72">
        <v>8.09</v>
      </c>
      <c r="E160" s="435">
        <v>5.4</v>
      </c>
      <c r="F160" s="72">
        <v>8.83</v>
      </c>
      <c r="G160" s="435">
        <v>5.92</v>
      </c>
      <c r="H160" s="72">
        <v>7.12</v>
      </c>
      <c r="I160" s="435">
        <v>4.32</v>
      </c>
    </row>
    <row r="161" spans="1:9">
      <c r="A161" s="266" t="s">
        <v>222</v>
      </c>
      <c r="B161" s="72"/>
      <c r="C161" s="72"/>
      <c r="D161" s="436"/>
      <c r="E161" s="72"/>
      <c r="F161" s="436"/>
      <c r="G161" s="435"/>
      <c r="H161" s="436"/>
      <c r="I161" s="435"/>
    </row>
    <row r="162" spans="1:9">
      <c r="A162" s="266" t="s">
        <v>223</v>
      </c>
      <c r="B162" s="72">
        <v>9.39</v>
      </c>
      <c r="C162" s="72">
        <v>6.74</v>
      </c>
      <c r="D162" s="436">
        <v>8.75</v>
      </c>
      <c r="E162" s="72">
        <v>7.09</v>
      </c>
      <c r="F162" s="436">
        <v>9.89</v>
      </c>
      <c r="G162" s="435">
        <v>8.2899999999999991</v>
      </c>
      <c r="H162" s="436">
        <v>9.57</v>
      </c>
      <c r="I162" s="435">
        <v>8.6</v>
      </c>
    </row>
    <row r="163" spans="1:9">
      <c r="A163" s="266" t="s">
        <v>6</v>
      </c>
      <c r="B163" s="82">
        <v>3.9445219593803498</v>
      </c>
      <c r="C163" s="437">
        <v>2.9716457099038251</v>
      </c>
      <c r="D163" s="82">
        <v>4.5840663724672979</v>
      </c>
      <c r="E163" s="437">
        <v>4.2859569974854184</v>
      </c>
      <c r="F163" s="82">
        <v>4.8501001677690931</v>
      </c>
      <c r="G163" s="82">
        <v>4.7284750650995244</v>
      </c>
      <c r="H163" s="387">
        <v>4.1619816374535379</v>
      </c>
      <c r="I163" s="437">
        <v>4.2455340291413401</v>
      </c>
    </row>
    <row r="164" spans="1:9">
      <c r="A164" s="266" t="s">
        <v>224</v>
      </c>
      <c r="B164" s="82">
        <v>8.3138883323923523</v>
      </c>
      <c r="C164" s="437">
        <v>4.3531431570799777</v>
      </c>
      <c r="D164" s="82">
        <v>8.6607728604549532</v>
      </c>
      <c r="E164" s="437">
        <v>4.3587708985063847</v>
      </c>
      <c r="F164" s="82">
        <v>9.8765237589908335</v>
      </c>
      <c r="G164" s="82">
        <v>6.0654140442468121</v>
      </c>
      <c r="H164" s="387">
        <v>14.229539007105094</v>
      </c>
      <c r="I164" s="437">
        <v>10.714853695952041</v>
      </c>
    </row>
    <row r="165" spans="1:9">
      <c r="A165" s="266" t="s">
        <v>369</v>
      </c>
      <c r="B165" s="82">
        <v>5.42</v>
      </c>
      <c r="C165" s="82">
        <v>5.5</v>
      </c>
      <c r="D165" s="387">
        <v>5.1100000000000003</v>
      </c>
      <c r="E165" s="82">
        <v>5.2</v>
      </c>
      <c r="F165" s="387">
        <v>5.24</v>
      </c>
      <c r="G165" s="437">
        <v>5.3</v>
      </c>
      <c r="H165" s="387">
        <v>5.29</v>
      </c>
      <c r="I165" s="437">
        <v>4.5999999999999996</v>
      </c>
    </row>
    <row r="166" spans="1:9">
      <c r="A166" s="266" t="s">
        <v>363</v>
      </c>
      <c r="B166" s="82"/>
      <c r="C166" s="82"/>
      <c r="D166" s="387"/>
      <c r="E166" s="82"/>
      <c r="F166" s="387"/>
      <c r="G166" s="437"/>
      <c r="H166" s="387"/>
      <c r="I166" s="437"/>
    </row>
    <row r="167" spans="1:9">
      <c r="A167" s="266" t="s">
        <v>8</v>
      </c>
      <c r="B167" s="82">
        <v>6.0510999999999999</v>
      </c>
      <c r="C167" s="437">
        <v>3.1139999999999999</v>
      </c>
      <c r="D167" s="82">
        <v>8.6966000000000001</v>
      </c>
      <c r="E167" s="437">
        <v>6.4283000000000001</v>
      </c>
      <c r="F167" s="82">
        <v>7.1821999999999999</v>
      </c>
      <c r="G167" s="82">
        <v>5.0580999999999996</v>
      </c>
      <c r="H167" s="387">
        <v>10.515599999999999</v>
      </c>
      <c r="I167" s="437">
        <v>8.3771000000000004</v>
      </c>
    </row>
    <row r="168" spans="1:9">
      <c r="A168" s="266" t="s">
        <v>225</v>
      </c>
      <c r="B168" s="44">
        <v>11.210302216776597</v>
      </c>
      <c r="C168" s="389">
        <v>7.3907591985202457</v>
      </c>
      <c r="D168" s="44">
        <v>9.8958854336253825</v>
      </c>
      <c r="E168" s="389">
        <v>6.4455852957127844</v>
      </c>
      <c r="F168" s="44">
        <v>9.5142068232649937</v>
      </c>
      <c r="G168" s="44">
        <v>5.9051504813372135</v>
      </c>
      <c r="H168" s="390">
        <v>10.289985855407641</v>
      </c>
      <c r="I168" s="389">
        <v>4.4896982574941706</v>
      </c>
    </row>
    <row r="169" spans="1:9">
      <c r="A169" s="267" t="s">
        <v>9</v>
      </c>
      <c r="B169" s="438">
        <v>13.328047691664802</v>
      </c>
      <c r="C169" s="439">
        <v>2.4999002280543303</v>
      </c>
      <c r="D169" s="438">
        <v>15.117597204232002</v>
      </c>
      <c r="E169" s="439">
        <v>5.7155169792440175</v>
      </c>
      <c r="F169" s="438">
        <v>13.892679618109316</v>
      </c>
      <c r="G169" s="438">
        <v>5.313808466349923</v>
      </c>
      <c r="H169" s="440">
        <v>20.798737085285591</v>
      </c>
      <c r="I169" s="439">
        <v>2.3132221287314625</v>
      </c>
    </row>
    <row r="171" spans="1:9" ht="29.25" customHeight="1">
      <c r="A171" s="682" t="s">
        <v>475</v>
      </c>
      <c r="B171" s="682"/>
      <c r="C171" s="682"/>
      <c r="D171" s="682"/>
      <c r="E171" s="682"/>
      <c r="F171" s="682"/>
      <c r="G171" s="682"/>
      <c r="H171" s="682"/>
      <c r="I171" s="682"/>
    </row>
    <row r="172" spans="1:9">
      <c r="A172" s="682"/>
      <c r="B172" s="682"/>
      <c r="C172" s="682"/>
      <c r="D172" s="682"/>
      <c r="E172" s="682"/>
      <c r="F172" s="682"/>
      <c r="G172" s="682"/>
      <c r="H172" s="682"/>
      <c r="I172" s="682"/>
    </row>
    <row r="173" spans="1:9">
      <c r="A173" s="682"/>
      <c r="B173" s="682"/>
      <c r="C173" s="682"/>
      <c r="D173" s="682"/>
      <c r="E173" s="682"/>
      <c r="F173" s="682"/>
      <c r="G173" s="682"/>
      <c r="H173" s="682"/>
      <c r="I173" s="682"/>
    </row>
    <row r="175" spans="1:9">
      <c r="A175" s="12" t="s">
        <v>484</v>
      </c>
    </row>
    <row r="176" spans="1:9">
      <c r="A176" s="575"/>
    </row>
    <row r="177" spans="1:15">
      <c r="A177" s="683" t="s">
        <v>0</v>
      </c>
      <c r="B177" s="686" t="s">
        <v>236</v>
      </c>
      <c r="C177" s="687"/>
      <c r="D177" s="687"/>
      <c r="E177" s="687"/>
      <c r="F177" s="687"/>
      <c r="G177" s="687"/>
      <c r="H177" s="687"/>
      <c r="I177" s="688"/>
    </row>
    <row r="178" spans="1:15">
      <c r="A178" s="684"/>
      <c r="B178" s="689" t="s">
        <v>237</v>
      </c>
      <c r="C178" s="690"/>
      <c r="D178" s="689" t="s">
        <v>238</v>
      </c>
      <c r="E178" s="690"/>
      <c r="F178" s="689" t="s">
        <v>239</v>
      </c>
      <c r="G178" s="690"/>
      <c r="H178" s="689" t="s">
        <v>240</v>
      </c>
      <c r="I178" s="690"/>
    </row>
    <row r="179" spans="1:15">
      <c r="A179" s="685"/>
      <c r="B179" s="302" t="s">
        <v>241</v>
      </c>
      <c r="C179" s="302" t="s">
        <v>242</v>
      </c>
      <c r="D179" s="302" t="s">
        <v>241</v>
      </c>
      <c r="E179" s="325" t="s">
        <v>242</v>
      </c>
      <c r="F179" s="302" t="s">
        <v>241</v>
      </c>
      <c r="G179" s="325" t="s">
        <v>242</v>
      </c>
      <c r="H179" s="302" t="s">
        <v>241</v>
      </c>
      <c r="I179" s="302" t="s">
        <v>242</v>
      </c>
    </row>
    <row r="180" spans="1:15">
      <c r="A180" s="266" t="s">
        <v>4</v>
      </c>
      <c r="B180" s="72">
        <v>7.98</v>
      </c>
      <c r="C180" s="435">
        <v>4.4800000000000004</v>
      </c>
      <c r="D180" s="72">
        <v>7.97</v>
      </c>
      <c r="E180" s="435">
        <v>4.5199999999999996</v>
      </c>
      <c r="F180" s="72">
        <v>9.57</v>
      </c>
      <c r="G180" s="435">
        <v>5.38</v>
      </c>
      <c r="H180" s="72">
        <v>4.0999999999999996</v>
      </c>
      <c r="I180" s="435">
        <v>-2.35</v>
      </c>
    </row>
    <row r="181" spans="1:15">
      <c r="A181" s="266" t="s">
        <v>222</v>
      </c>
      <c r="B181" s="72">
        <v>9.1198858943442254</v>
      </c>
      <c r="C181" s="72">
        <v>5.0545424921349724</v>
      </c>
      <c r="D181" s="436">
        <v>10.5245011939896</v>
      </c>
      <c r="E181" s="72">
        <v>6.6305205660313282</v>
      </c>
      <c r="F181" s="436">
        <v>12.958228059864263</v>
      </c>
      <c r="G181" s="435">
        <v>8.9659353292198318</v>
      </c>
      <c r="H181" s="436">
        <v>11.667111121026497</v>
      </c>
      <c r="I181" s="435">
        <v>5.7234259137053156</v>
      </c>
      <c r="L181" s="579"/>
      <c r="M181" s="580"/>
      <c r="N181" s="579"/>
      <c r="O181" s="580"/>
    </row>
    <row r="182" spans="1:15">
      <c r="A182" s="266" t="s">
        <v>223</v>
      </c>
      <c r="B182" s="72">
        <v>9.73</v>
      </c>
      <c r="C182" s="72">
        <v>7.2</v>
      </c>
      <c r="D182" s="436">
        <v>9.76</v>
      </c>
      <c r="E182" s="72">
        <v>7.55</v>
      </c>
      <c r="F182" s="436">
        <v>11.79</v>
      </c>
      <c r="G182" s="435">
        <v>9.6999999999999993</v>
      </c>
      <c r="H182" s="436">
        <v>12.54</v>
      </c>
      <c r="I182" s="435">
        <v>8.9499999999999993</v>
      </c>
    </row>
    <row r="183" spans="1:15">
      <c r="A183" s="266" t="s">
        <v>6</v>
      </c>
      <c r="B183" s="82">
        <v>4.2165315019999996</v>
      </c>
      <c r="C183" s="437">
        <v>3.1373460209999999</v>
      </c>
      <c r="D183" s="82">
        <v>4.952267526</v>
      </c>
      <c r="E183" s="437">
        <v>3.2250043060000002</v>
      </c>
      <c r="F183" s="82">
        <v>5.3078687929999999</v>
      </c>
      <c r="G183" s="82">
        <v>3.275851174</v>
      </c>
      <c r="H183" s="387">
        <v>5.5473532299999997</v>
      </c>
      <c r="I183" s="437">
        <v>-0.53407498399999997</v>
      </c>
    </row>
    <row r="184" spans="1:15">
      <c r="A184" s="266" t="s">
        <v>224</v>
      </c>
      <c r="B184" s="82">
        <v>8.4439989874376291</v>
      </c>
      <c r="C184" s="437">
        <v>4.0904720952992513</v>
      </c>
      <c r="D184" s="82">
        <v>9.5270965060600492</v>
      </c>
      <c r="E184" s="437">
        <v>4.3570295662257541</v>
      </c>
      <c r="F184" s="82">
        <v>12.569299776776386</v>
      </c>
      <c r="G184" s="82">
        <v>7.7780453320569327</v>
      </c>
      <c r="H184" s="387">
        <v>8.178011998113945</v>
      </c>
      <c r="I184" s="437">
        <v>0.6295918029541977</v>
      </c>
    </row>
    <row r="185" spans="1:15">
      <c r="A185" s="266" t="s">
        <v>369</v>
      </c>
      <c r="B185" s="82">
        <v>5.05</v>
      </c>
      <c r="C185" s="82">
        <v>3.92</v>
      </c>
      <c r="D185" s="387">
        <v>4.82</v>
      </c>
      <c r="E185" s="82">
        <v>3.66</v>
      </c>
      <c r="F185" s="387">
        <v>4.91</v>
      </c>
      <c r="G185" s="437">
        <v>3.7</v>
      </c>
      <c r="H185" s="387">
        <v>3.36</v>
      </c>
      <c r="I185" s="437">
        <v>2.46</v>
      </c>
    </row>
    <row r="186" spans="1:15">
      <c r="A186" s="266" t="s">
        <v>363</v>
      </c>
      <c r="B186" s="82"/>
      <c r="C186" s="82"/>
      <c r="D186" s="387"/>
      <c r="E186" s="82"/>
      <c r="F186" s="387"/>
      <c r="G186" s="437"/>
      <c r="H186" s="387"/>
      <c r="I186" s="437"/>
    </row>
    <row r="187" spans="1:15">
      <c r="A187" s="266" t="s">
        <v>8</v>
      </c>
      <c r="B187" s="82">
        <v>7.5185000000000004</v>
      </c>
      <c r="C187" s="437">
        <v>4.3734000000000002</v>
      </c>
      <c r="D187" s="82">
        <v>8.0269999999999992</v>
      </c>
      <c r="E187" s="437">
        <v>5.1298000000000004</v>
      </c>
      <c r="F187" s="82">
        <v>10.0044</v>
      </c>
      <c r="G187" s="82">
        <v>6.3738000000000001</v>
      </c>
      <c r="H187" s="387">
        <v>6.5496999999999996</v>
      </c>
      <c r="I187" s="437">
        <v>0.11210000000000001</v>
      </c>
    </row>
    <row r="188" spans="1:15">
      <c r="A188" s="266" t="s">
        <v>225</v>
      </c>
      <c r="B188" s="44">
        <v>10.979999999999999</v>
      </c>
      <c r="C188" s="389">
        <v>7.16</v>
      </c>
      <c r="D188" s="44">
        <v>11.200000000000001</v>
      </c>
      <c r="E188" s="389">
        <v>6.39</v>
      </c>
      <c r="F188" s="44">
        <v>12.3</v>
      </c>
      <c r="G188" s="44">
        <v>6.12</v>
      </c>
      <c r="H188" s="390">
        <v>17.5</v>
      </c>
      <c r="I188" s="389">
        <v>8.3000000000000007</v>
      </c>
    </row>
    <row r="189" spans="1:15">
      <c r="A189" s="267" t="s">
        <v>9</v>
      </c>
      <c r="B189" s="438">
        <v>13.89</v>
      </c>
      <c r="C189" s="439">
        <v>3.85</v>
      </c>
      <c r="D189" s="438">
        <v>16.07</v>
      </c>
      <c r="E189" s="439">
        <v>7.5</v>
      </c>
      <c r="F189" s="438">
        <v>15.85</v>
      </c>
      <c r="G189" s="438">
        <v>7.67</v>
      </c>
      <c r="H189" s="440">
        <v>13.14</v>
      </c>
      <c r="I189" s="439">
        <v>7.1</v>
      </c>
    </row>
    <row r="191" spans="1:15">
      <c r="A191" s="682" t="s">
        <v>475</v>
      </c>
      <c r="B191" s="682"/>
      <c r="C191" s="682"/>
      <c r="D191" s="682"/>
      <c r="E191" s="682"/>
      <c r="F191" s="682"/>
      <c r="G191" s="682"/>
      <c r="H191" s="682"/>
      <c r="I191" s="682"/>
    </row>
    <row r="192" spans="1:15">
      <c r="A192" s="682"/>
      <c r="B192" s="682"/>
      <c r="C192" s="682"/>
      <c r="D192" s="682"/>
      <c r="E192" s="682"/>
      <c r="F192" s="682"/>
      <c r="G192" s="682"/>
      <c r="H192" s="682"/>
      <c r="I192" s="682"/>
    </row>
    <row r="193" spans="1:9">
      <c r="A193" s="682"/>
      <c r="B193" s="682"/>
      <c r="C193" s="682"/>
      <c r="D193" s="682"/>
      <c r="E193" s="682"/>
      <c r="F193" s="682"/>
      <c r="G193" s="682"/>
      <c r="H193" s="682"/>
      <c r="I193" s="682"/>
    </row>
    <row r="195" spans="1:9">
      <c r="A195" s="12" t="s">
        <v>496</v>
      </c>
    </row>
    <row r="196" spans="1:9">
      <c r="A196" s="575"/>
    </row>
    <row r="197" spans="1:9">
      <c r="A197" s="683" t="s">
        <v>0</v>
      </c>
      <c r="B197" s="686" t="s">
        <v>236</v>
      </c>
      <c r="C197" s="687"/>
      <c r="D197" s="687"/>
      <c r="E197" s="687"/>
      <c r="F197" s="687"/>
      <c r="G197" s="687"/>
      <c r="H197" s="687"/>
      <c r="I197" s="688"/>
    </row>
    <row r="198" spans="1:9">
      <c r="A198" s="684"/>
      <c r="B198" s="689" t="s">
        <v>237</v>
      </c>
      <c r="C198" s="690"/>
      <c r="D198" s="689" t="s">
        <v>238</v>
      </c>
      <c r="E198" s="690"/>
      <c r="F198" s="689" t="s">
        <v>239</v>
      </c>
      <c r="G198" s="690"/>
      <c r="H198" s="689" t="s">
        <v>240</v>
      </c>
      <c r="I198" s="690"/>
    </row>
    <row r="199" spans="1:9">
      <c r="A199" s="685"/>
      <c r="B199" s="302" t="s">
        <v>241</v>
      </c>
      <c r="C199" s="302" t="s">
        <v>242</v>
      </c>
      <c r="D199" s="302" t="s">
        <v>241</v>
      </c>
      <c r="E199" s="325" t="s">
        <v>242</v>
      </c>
      <c r="F199" s="302" t="s">
        <v>241</v>
      </c>
      <c r="G199" s="325" t="s">
        <v>242</v>
      </c>
      <c r="H199" s="302" t="s">
        <v>241</v>
      </c>
      <c r="I199" s="302" t="s">
        <v>242</v>
      </c>
    </row>
    <row r="200" spans="1:9">
      <c r="A200" s="266" t="s">
        <v>4</v>
      </c>
      <c r="B200" s="72">
        <v>7.53</v>
      </c>
      <c r="C200" s="435">
        <v>3.01</v>
      </c>
      <c r="D200" s="72">
        <v>6.65</v>
      </c>
      <c r="E200" s="435">
        <v>1.04</v>
      </c>
      <c r="F200" s="72">
        <v>4.66</v>
      </c>
      <c r="G200" s="435">
        <v>-2.58</v>
      </c>
      <c r="H200" s="72">
        <v>2.86</v>
      </c>
      <c r="I200" s="435">
        <v>-9.2100000000000009</v>
      </c>
    </row>
    <row r="201" spans="1:9">
      <c r="A201" s="266" t="s">
        <v>222</v>
      </c>
      <c r="B201" s="72">
        <v>6.97379565725047</v>
      </c>
      <c r="C201" s="72">
        <v>1.9714745512980469</v>
      </c>
      <c r="D201" s="436">
        <v>6.4866473168663452</v>
      </c>
      <c r="E201" s="72">
        <v>1.0405125180864339</v>
      </c>
      <c r="F201" s="436">
        <v>5.3904433905754168</v>
      </c>
      <c r="G201" s="435">
        <v>-1.2050674726542754</v>
      </c>
      <c r="H201" s="436">
        <v>-4.6411200360474414</v>
      </c>
      <c r="I201" s="435">
        <v>-15.703143562771526</v>
      </c>
    </row>
    <row r="202" spans="1:9">
      <c r="A202" s="266" t="s">
        <v>223</v>
      </c>
      <c r="B202" s="72">
        <v>8.4</v>
      </c>
      <c r="C202" s="72">
        <v>5.59</v>
      </c>
      <c r="D202" s="436">
        <v>7.73</v>
      </c>
      <c r="E202" s="72">
        <v>4.4800000000000004</v>
      </c>
      <c r="F202" s="436">
        <v>6.18</v>
      </c>
      <c r="G202" s="435">
        <v>2.12</v>
      </c>
      <c r="H202" s="436">
        <v>-7.24</v>
      </c>
      <c r="I202" s="435">
        <v>-14.03</v>
      </c>
    </row>
    <row r="203" spans="1:9">
      <c r="A203" s="266" t="s">
        <v>6</v>
      </c>
      <c r="B203" s="82"/>
      <c r="C203" s="437"/>
      <c r="D203" s="82"/>
      <c r="E203" s="437"/>
      <c r="F203" s="82"/>
      <c r="G203" s="82"/>
      <c r="H203" s="387"/>
      <c r="I203" s="437"/>
    </row>
    <row r="204" spans="1:9">
      <c r="A204" s="266" t="s">
        <v>224</v>
      </c>
      <c r="B204" s="82">
        <v>6.4712768400987937</v>
      </c>
      <c r="C204" s="437">
        <v>1.8575141757232849</v>
      </c>
      <c r="D204" s="82">
        <v>6.7035866324332947</v>
      </c>
      <c r="E204" s="437">
        <v>1.4986712054631697</v>
      </c>
      <c r="F204" s="82">
        <v>5.9947202330575315</v>
      </c>
      <c r="G204" s="82">
        <v>-2.6857159728994728E-2</v>
      </c>
      <c r="H204" s="387">
        <v>-3.6477612167385067</v>
      </c>
      <c r="I204" s="437">
        <v>-10.340462910942447</v>
      </c>
    </row>
    <row r="205" spans="1:9">
      <c r="A205" s="266" t="s">
        <v>369</v>
      </c>
      <c r="B205" s="82">
        <v>4.5999999999999999E-2</v>
      </c>
      <c r="C205" s="82">
        <v>6.0999999999999999E-2</v>
      </c>
      <c r="D205" s="387">
        <v>0.04</v>
      </c>
      <c r="E205" s="82">
        <v>2.9000000000000001E-2</v>
      </c>
      <c r="F205" s="387">
        <v>3.4000000000000002E-2</v>
      </c>
      <c r="G205" s="437">
        <v>2.3E-2</v>
      </c>
      <c r="H205" s="387">
        <v>1.7999999999999999E-2</v>
      </c>
      <c r="I205" s="437">
        <v>0.01</v>
      </c>
    </row>
    <row r="206" spans="1:9">
      <c r="A206" s="266" t="s">
        <v>363</v>
      </c>
      <c r="B206" s="82">
        <v>5.2</v>
      </c>
      <c r="C206" s="82" t="s">
        <v>497</v>
      </c>
      <c r="D206" s="387">
        <v>4.9000000000000004</v>
      </c>
      <c r="E206" s="82" t="s">
        <v>497</v>
      </c>
      <c r="F206" s="387">
        <v>5.8</v>
      </c>
      <c r="G206" s="437" t="s">
        <v>497</v>
      </c>
      <c r="H206" s="387">
        <v>-2.9</v>
      </c>
      <c r="I206" s="437" t="s">
        <v>497</v>
      </c>
    </row>
    <row r="207" spans="1:9">
      <c r="A207" s="266" t="s">
        <v>8</v>
      </c>
      <c r="B207" s="82">
        <v>5.5269000000000004</v>
      </c>
      <c r="C207" s="437">
        <v>1.8776999999999999</v>
      </c>
      <c r="D207" s="82">
        <v>4.0107999999999997</v>
      </c>
      <c r="E207" s="437">
        <v>-0.13880000000000001</v>
      </c>
      <c r="F207" s="82">
        <v>2.9870999999999999</v>
      </c>
      <c r="G207" s="82">
        <v>-2.4611000000000001</v>
      </c>
      <c r="H207" s="387">
        <v>-7.1540999999999997</v>
      </c>
      <c r="I207" s="437">
        <v>-14.3955</v>
      </c>
    </row>
    <row r="208" spans="1:9">
      <c r="A208" s="266" t="s">
        <v>225</v>
      </c>
      <c r="B208" s="44">
        <v>0.10631818076002811</v>
      </c>
      <c r="C208" s="389">
        <v>6.6525151603480021E-2</v>
      </c>
      <c r="D208" s="44">
        <v>9.6763750004674021E-2</v>
      </c>
      <c r="E208" s="389">
        <v>4.4312724332742109E-2</v>
      </c>
      <c r="F208" s="44">
        <v>9.69E-2</v>
      </c>
      <c r="G208" s="44">
        <v>2.740560226731667E-2</v>
      </c>
      <c r="H208" s="390">
        <v>5.5199999999999999E-2</v>
      </c>
      <c r="I208" s="389">
        <v>4.6399999999999997E-2</v>
      </c>
    </row>
    <row r="209" spans="1:9">
      <c r="A209" s="267" t="s">
        <v>9</v>
      </c>
      <c r="B209" s="438">
        <v>11.657284903767916</v>
      </c>
      <c r="C209" s="439">
        <v>2.0988498115465992</v>
      </c>
      <c r="D209" s="438">
        <v>11.125904881922688</v>
      </c>
      <c r="E209" s="439">
        <v>1.2954147907983327</v>
      </c>
      <c r="F209" s="438">
        <v>10.244248386343102</v>
      </c>
      <c r="G209" s="438">
        <v>2.3318486057060106</v>
      </c>
      <c r="H209" s="440">
        <v>8.088133616080583</v>
      </c>
      <c r="I209" s="439">
        <v>-2.2297946457768281</v>
      </c>
    </row>
    <row r="211" spans="1:9">
      <c r="A211" s="682" t="s">
        <v>475</v>
      </c>
      <c r="B211" s="682"/>
      <c r="C211" s="682"/>
      <c r="D211" s="682"/>
      <c r="E211" s="682"/>
      <c r="F211" s="682"/>
      <c r="G211" s="682"/>
      <c r="H211" s="682"/>
      <c r="I211" s="682"/>
    </row>
    <row r="212" spans="1:9">
      <c r="A212" s="682"/>
      <c r="B212" s="682"/>
      <c r="C212" s="682"/>
      <c r="D212" s="682"/>
      <c r="E212" s="682"/>
      <c r="F212" s="682"/>
      <c r="G212" s="682"/>
      <c r="H212" s="682"/>
      <c r="I212" s="682"/>
    </row>
    <row r="213" spans="1:9">
      <c r="A213" s="682"/>
      <c r="B213" s="682"/>
      <c r="C213" s="682"/>
      <c r="D213" s="682"/>
      <c r="E213" s="682"/>
      <c r="F213" s="682"/>
      <c r="G213" s="682"/>
      <c r="H213" s="682"/>
      <c r="I213" s="682"/>
    </row>
    <row r="215" spans="1:9">
      <c r="A215" s="12" t="s">
        <v>508</v>
      </c>
    </row>
    <row r="216" spans="1:9">
      <c r="A216" s="575"/>
    </row>
    <row r="217" spans="1:9">
      <c r="A217" s="683" t="s">
        <v>0</v>
      </c>
      <c r="B217" s="686" t="s">
        <v>236</v>
      </c>
      <c r="C217" s="687"/>
      <c r="D217" s="687"/>
      <c r="E217" s="687"/>
      <c r="F217" s="687"/>
      <c r="G217" s="687"/>
      <c r="H217" s="687"/>
      <c r="I217" s="688"/>
    </row>
    <row r="218" spans="1:9">
      <c r="A218" s="684"/>
      <c r="B218" s="689" t="s">
        <v>237</v>
      </c>
      <c r="C218" s="690"/>
      <c r="D218" s="689" t="s">
        <v>238</v>
      </c>
      <c r="E218" s="690"/>
      <c r="F218" s="689" t="s">
        <v>239</v>
      </c>
      <c r="G218" s="690"/>
      <c r="H218" s="689" t="s">
        <v>240</v>
      </c>
      <c r="I218" s="690"/>
    </row>
    <row r="219" spans="1:9">
      <c r="A219" s="685"/>
      <c r="B219" s="302" t="s">
        <v>241</v>
      </c>
      <c r="C219" s="302" t="s">
        <v>242</v>
      </c>
      <c r="D219" s="302" t="s">
        <v>241</v>
      </c>
      <c r="E219" s="325" t="s">
        <v>242</v>
      </c>
      <c r="F219" s="302" t="s">
        <v>241</v>
      </c>
      <c r="G219" s="325" t="s">
        <v>242</v>
      </c>
      <c r="H219" s="302" t="s">
        <v>241</v>
      </c>
      <c r="I219" s="302" t="s">
        <v>242</v>
      </c>
    </row>
    <row r="220" spans="1:9">
      <c r="A220" s="266" t="s">
        <v>4</v>
      </c>
      <c r="B220" s="72">
        <v>7.07</v>
      </c>
      <c r="C220" s="435">
        <v>2.39</v>
      </c>
      <c r="D220" s="72">
        <v>6.43</v>
      </c>
      <c r="E220" s="435">
        <v>0.28999999999999998</v>
      </c>
      <c r="F220" s="72">
        <v>5.85</v>
      </c>
      <c r="G220" s="435">
        <v>-2.11</v>
      </c>
      <c r="H220" s="72">
        <v>10.029999999999999</v>
      </c>
      <c r="I220" s="435">
        <v>5.69</v>
      </c>
    </row>
    <row r="221" spans="1:9">
      <c r="A221" s="266" t="s">
        <v>222</v>
      </c>
      <c r="B221" s="72">
        <v>8.1838677119969496</v>
      </c>
      <c r="C221" s="435">
        <v>2.4106990253401683</v>
      </c>
      <c r="D221" s="72">
        <v>8.9675470296051163</v>
      </c>
      <c r="E221" s="435">
        <v>2.2146147241838499</v>
      </c>
      <c r="F221" s="72">
        <v>5.969028677998045</v>
      </c>
      <c r="G221" s="435">
        <v>-3.0450494335466982</v>
      </c>
      <c r="H221" s="72">
        <v>11.821316062831855</v>
      </c>
      <c r="I221" s="435">
        <v>2.3296577359769977</v>
      </c>
    </row>
    <row r="222" spans="1:9">
      <c r="A222" s="266" t="s">
        <v>223</v>
      </c>
      <c r="B222" s="72">
        <v>8.27</v>
      </c>
      <c r="C222" s="435">
        <v>6.02</v>
      </c>
      <c r="D222" s="72">
        <v>8.76</v>
      </c>
      <c r="E222" s="435">
        <v>6.31</v>
      </c>
      <c r="F222" s="72">
        <v>6.79</v>
      </c>
      <c r="G222" s="435">
        <v>3.62</v>
      </c>
      <c r="H222" s="72">
        <v>11.5</v>
      </c>
      <c r="I222" s="435">
        <v>13.5</v>
      </c>
    </row>
    <row r="223" spans="1:9">
      <c r="A223" s="266" t="s">
        <v>6</v>
      </c>
      <c r="B223" s="82"/>
      <c r="C223" s="437"/>
      <c r="D223" s="82"/>
      <c r="E223" s="437"/>
      <c r="F223" s="82"/>
      <c r="G223" s="82"/>
      <c r="H223" s="387"/>
      <c r="I223" s="437"/>
    </row>
    <row r="224" spans="1:9">
      <c r="A224" s="266" t="s">
        <v>224</v>
      </c>
      <c r="B224" s="72">
        <v>7.012686892459441</v>
      </c>
      <c r="C224" s="435">
        <v>2.3136948867372933</v>
      </c>
      <c r="D224" s="72">
        <v>8.4456264909999348</v>
      </c>
      <c r="E224" s="435">
        <v>3.2723146265136052</v>
      </c>
      <c r="F224" s="72">
        <v>4.32965446901893</v>
      </c>
      <c r="G224" s="435">
        <v>-1.9531859212190574</v>
      </c>
      <c r="H224" s="72">
        <v>9.0854020034448055</v>
      </c>
      <c r="I224" s="435">
        <v>4.6006988879551045</v>
      </c>
    </row>
    <row r="225" spans="1:9">
      <c r="A225" s="266" t="s">
        <v>369</v>
      </c>
      <c r="B225" s="72">
        <v>4.5999999999999996</v>
      </c>
      <c r="C225" s="435">
        <v>2.8</v>
      </c>
      <c r="D225" s="72">
        <v>4.4000000000000004</v>
      </c>
      <c r="E225" s="435">
        <v>3.3</v>
      </c>
      <c r="F225" s="72">
        <v>3.4</v>
      </c>
      <c r="G225" s="435">
        <v>3.6</v>
      </c>
      <c r="H225" s="72">
        <v>5.0999999999999996</v>
      </c>
      <c r="I225" s="435">
        <v>4.5</v>
      </c>
    </row>
    <row r="226" spans="1:9">
      <c r="A226" s="266" t="s">
        <v>363</v>
      </c>
      <c r="B226" s="72">
        <v>3.62</v>
      </c>
      <c r="C226" s="435" t="s">
        <v>497</v>
      </c>
      <c r="D226" s="72">
        <v>2.8</v>
      </c>
      <c r="E226" s="435" t="s">
        <v>497</v>
      </c>
      <c r="F226" s="72">
        <v>1.1499999999999999</v>
      </c>
      <c r="G226" s="435" t="s">
        <v>497</v>
      </c>
      <c r="H226" s="72">
        <v>3.78</v>
      </c>
      <c r="I226" s="435" t="s">
        <v>497</v>
      </c>
    </row>
    <row r="227" spans="1:9">
      <c r="A227" s="266" t="s">
        <v>8</v>
      </c>
      <c r="B227" s="72">
        <v>6.3945999999999996</v>
      </c>
      <c r="C227" s="435">
        <v>2.6777000000000002</v>
      </c>
      <c r="D227" s="72">
        <v>6.2148000000000003</v>
      </c>
      <c r="E227" s="435">
        <v>1.77</v>
      </c>
      <c r="F227" s="72">
        <v>2.1972</v>
      </c>
      <c r="G227" s="435">
        <v>-3.6059999999999999</v>
      </c>
      <c r="H227" s="72">
        <v>9.9037000000000006</v>
      </c>
      <c r="I227" s="435">
        <v>6.4577</v>
      </c>
    </row>
    <row r="228" spans="1:9">
      <c r="A228" s="266" t="s">
        <v>225</v>
      </c>
      <c r="B228" s="72">
        <v>9.9500000000000011</v>
      </c>
      <c r="C228" s="435">
        <v>5.9700000000000006</v>
      </c>
      <c r="D228" s="72">
        <v>9.2200000000000006</v>
      </c>
      <c r="E228" s="435">
        <v>3.73</v>
      </c>
      <c r="F228" s="72">
        <v>8.85</v>
      </c>
      <c r="G228" s="435">
        <v>1.5599999999999989</v>
      </c>
      <c r="H228" s="72">
        <v>7.6300000000000008</v>
      </c>
      <c r="I228" s="435">
        <v>2.8300000000000005</v>
      </c>
    </row>
    <row r="229" spans="1:9">
      <c r="A229" s="267" t="s">
        <v>9</v>
      </c>
      <c r="B229" s="669" t="s">
        <v>497</v>
      </c>
      <c r="C229" s="670" t="s">
        <v>497</v>
      </c>
      <c r="D229" s="671">
        <v>10.810935842101021</v>
      </c>
      <c r="E229" s="670">
        <v>2.2917045978685158</v>
      </c>
      <c r="F229" s="671">
        <v>6.7332769891345103</v>
      </c>
      <c r="G229" s="670">
        <v>-1.3174028582775832</v>
      </c>
      <c r="H229" s="671">
        <v>9.6210864299236807</v>
      </c>
      <c r="I229" s="670">
        <v>0.54212582615282801</v>
      </c>
    </row>
    <row r="231" spans="1:9">
      <c r="A231" s="682" t="s">
        <v>475</v>
      </c>
      <c r="B231" s="682"/>
      <c r="C231" s="682"/>
      <c r="D231" s="682"/>
      <c r="E231" s="682"/>
      <c r="F231" s="682"/>
      <c r="G231" s="682"/>
      <c r="H231" s="682"/>
      <c r="I231" s="682"/>
    </row>
    <row r="232" spans="1:9">
      <c r="A232" s="682"/>
      <c r="B232" s="682"/>
      <c r="C232" s="682"/>
      <c r="D232" s="682"/>
      <c r="E232" s="682"/>
      <c r="F232" s="682"/>
      <c r="G232" s="682"/>
      <c r="H232" s="682"/>
      <c r="I232" s="682"/>
    </row>
    <row r="233" spans="1:9">
      <c r="A233" s="682"/>
      <c r="B233" s="682"/>
      <c r="C233" s="682"/>
      <c r="D233" s="682"/>
      <c r="E233" s="682"/>
      <c r="F233" s="682"/>
      <c r="G233" s="682"/>
      <c r="H233" s="682"/>
      <c r="I233" s="682"/>
    </row>
    <row r="235" spans="1:9">
      <c r="A235" s="12" t="s">
        <v>527</v>
      </c>
    </row>
    <row r="236" spans="1:9">
      <c r="A236" s="575"/>
    </row>
    <row r="237" spans="1:9">
      <c r="A237" s="683" t="s">
        <v>0</v>
      </c>
      <c r="B237" s="686" t="s">
        <v>236</v>
      </c>
      <c r="C237" s="687"/>
      <c r="D237" s="687"/>
      <c r="E237" s="687"/>
      <c r="F237" s="687"/>
      <c r="G237" s="687"/>
      <c r="H237" s="687"/>
      <c r="I237" s="688"/>
    </row>
    <row r="238" spans="1:9">
      <c r="A238" s="684"/>
      <c r="B238" s="689" t="s">
        <v>237</v>
      </c>
      <c r="C238" s="690"/>
      <c r="D238" s="689" t="s">
        <v>238</v>
      </c>
      <c r="E238" s="690"/>
      <c r="F238" s="689" t="s">
        <v>239</v>
      </c>
      <c r="G238" s="690"/>
      <c r="H238" s="689" t="s">
        <v>240</v>
      </c>
      <c r="I238" s="690"/>
    </row>
    <row r="239" spans="1:9">
      <c r="A239" s="685"/>
      <c r="B239" s="302" t="s">
        <v>241</v>
      </c>
      <c r="C239" s="302" t="s">
        <v>242</v>
      </c>
      <c r="D239" s="302" t="s">
        <v>241</v>
      </c>
      <c r="E239" s="325" t="s">
        <v>242</v>
      </c>
      <c r="F239" s="302" t="s">
        <v>241</v>
      </c>
      <c r="G239" s="325" t="s">
        <v>242</v>
      </c>
      <c r="H239" s="302" t="s">
        <v>241</v>
      </c>
      <c r="I239" s="302" t="s">
        <v>242</v>
      </c>
    </row>
    <row r="240" spans="1:9">
      <c r="A240" s="266" t="s">
        <v>4</v>
      </c>
      <c r="B240" s="72">
        <v>6.95</v>
      </c>
      <c r="C240" s="435">
        <v>2.2999999999999998</v>
      </c>
      <c r="D240" s="72">
        <v>5.95</v>
      </c>
      <c r="E240" s="435">
        <v>-0.32</v>
      </c>
      <c r="F240" s="72">
        <v>6.21</v>
      </c>
      <c r="G240" s="435">
        <v>-1.1200000000000001</v>
      </c>
      <c r="H240" s="72">
        <v>7.92</v>
      </c>
      <c r="I240" s="435">
        <v>3.35</v>
      </c>
    </row>
    <row r="241" spans="1:9">
      <c r="A241" s="266" t="s">
        <v>222</v>
      </c>
      <c r="B241" s="72">
        <v>8.5</v>
      </c>
      <c r="C241" s="435">
        <v>2.6</v>
      </c>
      <c r="D241" s="72">
        <v>8.3000000000000007</v>
      </c>
      <c r="E241" s="435">
        <v>1.3</v>
      </c>
      <c r="F241" s="72">
        <v>6.6</v>
      </c>
      <c r="G241" s="435">
        <v>-2.2999999999999998</v>
      </c>
      <c r="H241" s="72">
        <v>13.6</v>
      </c>
      <c r="I241" s="435">
        <v>8</v>
      </c>
    </row>
    <row r="242" spans="1:9">
      <c r="A242" s="266" t="s">
        <v>223</v>
      </c>
      <c r="B242" s="72">
        <v>8.7200000000000006</v>
      </c>
      <c r="C242" s="435">
        <v>6.93</v>
      </c>
      <c r="D242" s="72">
        <v>8.34</v>
      </c>
      <c r="E242" s="435">
        <v>6.04</v>
      </c>
      <c r="F242" s="72">
        <v>4.9400000000000004</v>
      </c>
      <c r="G242" s="435">
        <v>2.65</v>
      </c>
      <c r="H242" s="72">
        <v>11.92</v>
      </c>
      <c r="I242" s="435">
        <v>10.97</v>
      </c>
    </row>
    <row r="243" spans="1:9">
      <c r="A243" s="266" t="s">
        <v>6</v>
      </c>
      <c r="B243" s="82"/>
      <c r="C243" s="437"/>
      <c r="D243" s="82"/>
      <c r="E243" s="437"/>
      <c r="F243" s="82"/>
      <c r="G243" s="82"/>
      <c r="H243" s="387"/>
      <c r="I243" s="437"/>
    </row>
    <row r="244" spans="1:9">
      <c r="A244" s="266" t="s">
        <v>224</v>
      </c>
      <c r="B244" s="72">
        <v>6.6037334289903278</v>
      </c>
      <c r="C244" s="435">
        <v>2.0541039805148413</v>
      </c>
      <c r="D244" s="72">
        <v>7.0447420272873833</v>
      </c>
      <c r="E244" s="435">
        <v>1.801268947717803</v>
      </c>
      <c r="F244" s="72">
        <v>4.5572509882527674</v>
      </c>
      <c r="G244" s="435">
        <v>-0.58883475856370682</v>
      </c>
      <c r="H244" s="72">
        <v>9.1996131208128578</v>
      </c>
      <c r="I244" s="435">
        <v>4.7002006954926765</v>
      </c>
    </row>
    <row r="245" spans="1:9">
      <c r="A245" s="266" t="s">
        <v>369</v>
      </c>
      <c r="B245" s="72">
        <v>4.74</v>
      </c>
      <c r="C245" s="435">
        <v>4.55</v>
      </c>
      <c r="D245" s="72">
        <v>4.4000000000000004</v>
      </c>
      <c r="E245" s="435">
        <v>4.2</v>
      </c>
      <c r="F245" s="72">
        <v>4.5199999999999996</v>
      </c>
      <c r="G245" s="435">
        <v>4.47</v>
      </c>
      <c r="H245" s="72">
        <v>6.6</v>
      </c>
      <c r="I245" s="435">
        <v>6.58</v>
      </c>
    </row>
    <row r="246" spans="1:9">
      <c r="A246" s="266" t="s">
        <v>363</v>
      </c>
      <c r="B246" s="72"/>
      <c r="C246" s="435"/>
      <c r="D246" s="72"/>
      <c r="E246" s="435"/>
      <c r="F246" s="72"/>
      <c r="G246" s="435"/>
      <c r="H246" s="72"/>
      <c r="I246" s="435"/>
    </row>
    <row r="247" spans="1:9">
      <c r="A247" s="266" t="s">
        <v>8</v>
      </c>
      <c r="B247" s="72">
        <v>6.0283000000000007</v>
      </c>
      <c r="C247" s="435">
        <v>2.4497</v>
      </c>
      <c r="D247" s="72">
        <v>4.4074</v>
      </c>
      <c r="E247" s="435">
        <v>2.5100000000000001E-2</v>
      </c>
      <c r="F247" s="72">
        <v>1.8776000000000002</v>
      </c>
      <c r="G247" s="435">
        <v>-2.5251000000000001</v>
      </c>
      <c r="H247" s="72">
        <v>4.2543000000000006</v>
      </c>
      <c r="I247" s="435">
        <v>2.2435</v>
      </c>
    </row>
    <row r="248" spans="1:9">
      <c r="A248" s="266" t="s">
        <v>225</v>
      </c>
      <c r="B248" s="72">
        <v>9.6412681444762995</v>
      </c>
      <c r="C248" s="435">
        <v>5.2614431126641303</v>
      </c>
      <c r="D248" s="72">
        <v>9.3130510032725198</v>
      </c>
      <c r="E248" s="435">
        <v>3.3814781797628299</v>
      </c>
      <c r="F248" s="72">
        <v>8.0679219023554793</v>
      </c>
      <c r="G248" s="435">
        <v>3.0251508754632899</v>
      </c>
      <c r="H248" s="72">
        <v>9.99</v>
      </c>
      <c r="I248" s="435">
        <v>6.43</v>
      </c>
    </row>
    <row r="249" spans="1:9">
      <c r="A249" s="267" t="s">
        <v>9</v>
      </c>
      <c r="B249" s="669">
        <v>0</v>
      </c>
      <c r="C249" s="670">
        <v>0</v>
      </c>
      <c r="D249" s="671">
        <v>10.562937740414435</v>
      </c>
      <c r="E249" s="670">
        <v>2.5703773788837481</v>
      </c>
      <c r="F249" s="671">
        <v>6.4137536720860533</v>
      </c>
      <c r="G249" s="670">
        <v>-1.824451210148903</v>
      </c>
      <c r="H249" s="671">
        <v>12.482749575015761</v>
      </c>
      <c r="I249" s="670">
        <v>5.3729756660890082</v>
      </c>
    </row>
    <row r="251" spans="1:9">
      <c r="A251" s="682" t="s">
        <v>475</v>
      </c>
      <c r="B251" s="682"/>
      <c r="C251" s="682"/>
      <c r="D251" s="682"/>
      <c r="E251" s="682"/>
      <c r="F251" s="682"/>
      <c r="G251" s="682"/>
      <c r="H251" s="682"/>
      <c r="I251" s="682"/>
    </row>
    <row r="252" spans="1:9">
      <c r="A252" s="682"/>
      <c r="B252" s="682"/>
      <c r="C252" s="682"/>
      <c r="D252" s="682"/>
      <c r="E252" s="682"/>
      <c r="F252" s="682"/>
      <c r="G252" s="682"/>
      <c r="H252" s="682"/>
      <c r="I252" s="682"/>
    </row>
    <row r="253" spans="1:9">
      <c r="A253" s="682"/>
      <c r="B253" s="682"/>
      <c r="C253" s="682"/>
      <c r="D253" s="682"/>
      <c r="E253" s="682"/>
      <c r="F253" s="682"/>
      <c r="G253" s="682"/>
      <c r="H253" s="682"/>
      <c r="I253" s="682"/>
    </row>
    <row r="255" spans="1:9">
      <c r="A255" s="12" t="s">
        <v>539</v>
      </c>
    </row>
    <row r="256" spans="1:9">
      <c r="A256" s="575"/>
    </row>
    <row r="257" spans="1:9">
      <c r="A257" s="683" t="s">
        <v>0</v>
      </c>
      <c r="B257" s="686" t="s">
        <v>236</v>
      </c>
      <c r="C257" s="687"/>
      <c r="D257" s="687"/>
      <c r="E257" s="687"/>
      <c r="F257" s="687"/>
      <c r="G257" s="687"/>
      <c r="H257" s="687"/>
      <c r="I257" s="688"/>
    </row>
    <row r="258" spans="1:9">
      <c r="A258" s="684"/>
      <c r="B258" s="689" t="s">
        <v>237</v>
      </c>
      <c r="C258" s="690"/>
      <c r="D258" s="689" t="s">
        <v>238</v>
      </c>
      <c r="E258" s="690"/>
      <c r="F258" s="689" t="s">
        <v>239</v>
      </c>
      <c r="G258" s="690"/>
      <c r="H258" s="689" t="s">
        <v>240</v>
      </c>
      <c r="I258" s="690"/>
    </row>
    <row r="259" spans="1:9">
      <c r="A259" s="685"/>
      <c r="B259" s="302" t="s">
        <v>241</v>
      </c>
      <c r="C259" s="302" t="s">
        <v>242</v>
      </c>
      <c r="D259" s="302" t="s">
        <v>241</v>
      </c>
      <c r="E259" s="325" t="s">
        <v>242</v>
      </c>
      <c r="F259" s="302" t="s">
        <v>241</v>
      </c>
      <c r="G259" s="325" t="s">
        <v>242</v>
      </c>
      <c r="H259" s="302" t="s">
        <v>241</v>
      </c>
      <c r="I259" s="302" t="s">
        <v>242</v>
      </c>
    </row>
    <row r="260" spans="1:9">
      <c r="A260" s="266" t="s">
        <v>4</v>
      </c>
      <c r="B260" s="72">
        <v>7.87</v>
      </c>
      <c r="C260" s="435">
        <v>3.25</v>
      </c>
      <c r="D260" s="72">
        <v>7.66</v>
      </c>
      <c r="E260" s="435">
        <v>1.1499999999999999</v>
      </c>
      <c r="F260" s="72">
        <v>10.57</v>
      </c>
      <c r="G260" s="435">
        <v>6.11</v>
      </c>
      <c r="H260" s="72">
        <v>16.010000000000002</v>
      </c>
      <c r="I260" s="435">
        <v>12.18</v>
      </c>
    </row>
    <row r="261" spans="1:9">
      <c r="A261" s="266" t="s">
        <v>222</v>
      </c>
      <c r="B261" s="72">
        <v>9.3058337282059913</v>
      </c>
      <c r="C261" s="435">
        <v>3.4842790901612242</v>
      </c>
      <c r="D261" s="72">
        <v>8.4972126505712176</v>
      </c>
      <c r="E261" s="435">
        <v>0.82011756467308405</v>
      </c>
      <c r="F261" s="72">
        <v>12.19939627391733</v>
      </c>
      <c r="G261" s="435">
        <v>5.3502000862625687</v>
      </c>
      <c r="H261" s="72">
        <v>11.197283643215705</v>
      </c>
      <c r="I261" s="435">
        <v>5.8006334421041084</v>
      </c>
    </row>
    <row r="262" spans="1:9">
      <c r="A262" s="266" t="s">
        <v>223</v>
      </c>
      <c r="B262" s="72">
        <v>8.56</v>
      </c>
      <c r="C262" s="435">
        <v>6.81</v>
      </c>
      <c r="D262" s="72">
        <v>8.41</v>
      </c>
      <c r="E262" s="435">
        <v>6.55</v>
      </c>
      <c r="F262" s="72">
        <v>11.11</v>
      </c>
      <c r="G262" s="435">
        <v>11.93</v>
      </c>
      <c r="H262" s="72">
        <v>9.8699999999999992</v>
      </c>
      <c r="I262" s="435">
        <v>11.23</v>
      </c>
    </row>
    <row r="263" spans="1:9">
      <c r="A263" s="266" t="s">
        <v>6</v>
      </c>
      <c r="B263" s="82"/>
      <c r="C263" s="437"/>
      <c r="D263" s="82"/>
      <c r="E263" s="437"/>
      <c r="F263" s="82"/>
      <c r="G263" s="82"/>
      <c r="H263" s="387"/>
      <c r="I263" s="437"/>
    </row>
    <row r="264" spans="1:9">
      <c r="A264" s="266" t="s">
        <v>224</v>
      </c>
      <c r="B264" s="72">
        <v>7.8868629206645346</v>
      </c>
      <c r="C264" s="435">
        <v>3.1455289098568078</v>
      </c>
      <c r="D264" s="72">
        <v>7.4272804076364274</v>
      </c>
      <c r="E264" s="435">
        <v>2.07940423098206</v>
      </c>
      <c r="F264" s="72">
        <v>11.244967569378467</v>
      </c>
      <c r="G264" s="435">
        <v>6.9566314578955142</v>
      </c>
      <c r="H264" s="72">
        <v>16.82570557928754</v>
      </c>
      <c r="I264" s="435">
        <v>12.509936993031564</v>
      </c>
    </row>
    <row r="265" spans="1:9">
      <c r="A265" s="266" t="s">
        <v>369</v>
      </c>
      <c r="B265" s="72">
        <v>5.16</v>
      </c>
      <c r="C265" s="435">
        <v>5.12</v>
      </c>
      <c r="D265" s="72">
        <v>6</v>
      </c>
      <c r="E265" s="435">
        <v>5.97</v>
      </c>
      <c r="F265" s="72">
        <v>6.67</v>
      </c>
      <c r="G265" s="435">
        <v>6.05</v>
      </c>
      <c r="H265" s="72">
        <v>7.47</v>
      </c>
      <c r="I265" s="435">
        <v>7.49</v>
      </c>
    </row>
    <row r="266" spans="1:9">
      <c r="A266" s="266" t="s">
        <v>363</v>
      </c>
      <c r="B266" s="72"/>
      <c r="C266" s="435"/>
      <c r="D266" s="72"/>
      <c r="E266" s="435"/>
      <c r="F266" s="72"/>
      <c r="G266" s="435"/>
      <c r="H266" s="72"/>
      <c r="I266" s="435"/>
    </row>
    <row r="267" spans="1:9">
      <c r="A267" s="266" t="s">
        <v>8</v>
      </c>
      <c r="B267" s="72">
        <v>6.6299000000000001</v>
      </c>
      <c r="C267" s="435">
        <v>3.3205</v>
      </c>
      <c r="D267" s="72">
        <v>4.3086000000000002</v>
      </c>
      <c r="E267" s="435">
        <v>2.1700000000000001E-2</v>
      </c>
      <c r="F267" s="72">
        <v>8.327300000000001</v>
      </c>
      <c r="G267" s="435">
        <v>5.9593000000000007</v>
      </c>
      <c r="H267" s="72">
        <v>10.931600000000001</v>
      </c>
      <c r="I267" s="435">
        <v>9.2827999999999999</v>
      </c>
    </row>
    <row r="268" spans="1:9">
      <c r="A268" s="266" t="s">
        <v>225</v>
      </c>
      <c r="B268" s="72">
        <v>9.4700000000000006</v>
      </c>
      <c r="C268" s="435">
        <v>5.36</v>
      </c>
      <c r="D268" s="72">
        <v>8.9</v>
      </c>
      <c r="E268" s="435">
        <v>3.85</v>
      </c>
      <c r="F268" s="72">
        <v>9.19</v>
      </c>
      <c r="G268" s="435">
        <v>4.63</v>
      </c>
      <c r="H268" s="72">
        <v>9.4600000000000009</v>
      </c>
      <c r="I268" s="435">
        <v>5.42</v>
      </c>
    </row>
    <row r="269" spans="1:9">
      <c r="A269" s="267" t="s">
        <v>9</v>
      </c>
      <c r="B269" s="669"/>
      <c r="C269" s="670"/>
      <c r="D269" s="671">
        <v>8.1382670518642204</v>
      </c>
      <c r="E269" s="670">
        <v>0.72959265879278801</v>
      </c>
      <c r="F269" s="671"/>
      <c r="G269" s="670"/>
      <c r="H269" s="671"/>
      <c r="I269" s="670"/>
    </row>
    <row r="271" spans="1:9">
      <c r="A271" s="682" t="s">
        <v>475</v>
      </c>
      <c r="B271" s="682"/>
      <c r="C271" s="682"/>
      <c r="D271" s="682"/>
      <c r="E271" s="682"/>
      <c r="F271" s="682"/>
      <c r="G271" s="682"/>
      <c r="H271" s="682"/>
      <c r="I271" s="682"/>
    </row>
    <row r="272" spans="1:9">
      <c r="A272" s="682"/>
      <c r="B272" s="682"/>
      <c r="C272" s="682"/>
      <c r="D272" s="682"/>
      <c r="E272" s="682"/>
      <c r="F272" s="682"/>
      <c r="G272" s="682"/>
      <c r="H272" s="682"/>
      <c r="I272" s="682"/>
    </row>
    <row r="273" spans="1:9">
      <c r="A273" s="682"/>
      <c r="B273" s="682"/>
      <c r="C273" s="682"/>
      <c r="D273" s="682"/>
      <c r="E273" s="682"/>
      <c r="F273" s="682"/>
      <c r="G273" s="682"/>
      <c r="H273" s="682"/>
      <c r="I273" s="682"/>
    </row>
  </sheetData>
  <mergeCells count="96">
    <mergeCell ref="A211:I213"/>
    <mergeCell ref="A197:A199"/>
    <mergeCell ref="B197:I197"/>
    <mergeCell ref="B198:C198"/>
    <mergeCell ref="D198:E198"/>
    <mergeCell ref="F198:G198"/>
    <mergeCell ref="H198:I198"/>
    <mergeCell ref="A191:I193"/>
    <mergeCell ref="A177:A179"/>
    <mergeCell ref="B177:I177"/>
    <mergeCell ref="B178:C178"/>
    <mergeCell ref="D178:E178"/>
    <mergeCell ref="F178:G178"/>
    <mergeCell ref="H178:I178"/>
    <mergeCell ref="A171:I173"/>
    <mergeCell ref="A157:A159"/>
    <mergeCell ref="B157:I157"/>
    <mergeCell ref="B158:C158"/>
    <mergeCell ref="D158:E158"/>
    <mergeCell ref="F158:G158"/>
    <mergeCell ref="H158:I158"/>
    <mergeCell ref="A108:A110"/>
    <mergeCell ref="B108:I108"/>
    <mergeCell ref="B109:C109"/>
    <mergeCell ref="D109:E109"/>
    <mergeCell ref="F109:G109"/>
    <mergeCell ref="H109:I109"/>
    <mergeCell ref="A90:A92"/>
    <mergeCell ref="B90:I90"/>
    <mergeCell ref="B91:C91"/>
    <mergeCell ref="D91:E91"/>
    <mergeCell ref="F91:G91"/>
    <mergeCell ref="H91:I91"/>
    <mergeCell ref="A72:A74"/>
    <mergeCell ref="B72:I72"/>
    <mergeCell ref="B73:C73"/>
    <mergeCell ref="D73:E73"/>
    <mergeCell ref="F73:G73"/>
    <mergeCell ref="H73:I73"/>
    <mergeCell ref="A55:A57"/>
    <mergeCell ref="B55:I55"/>
    <mergeCell ref="B56:C56"/>
    <mergeCell ref="D56:E56"/>
    <mergeCell ref="F56:G56"/>
    <mergeCell ref="H56:I56"/>
    <mergeCell ref="F22:G22"/>
    <mergeCell ref="H22:I22"/>
    <mergeCell ref="A38:A40"/>
    <mergeCell ref="B38:I38"/>
    <mergeCell ref="B39:C39"/>
    <mergeCell ref="D39:E39"/>
    <mergeCell ref="F39:G39"/>
    <mergeCell ref="H39:I39"/>
    <mergeCell ref="A4:A6"/>
    <mergeCell ref="A125:A127"/>
    <mergeCell ref="B125:I125"/>
    <mergeCell ref="B126:C126"/>
    <mergeCell ref="D126:E126"/>
    <mergeCell ref="F126:G126"/>
    <mergeCell ref="H126:I126"/>
    <mergeCell ref="H5:I5"/>
    <mergeCell ref="F5:G5"/>
    <mergeCell ref="D5:E5"/>
    <mergeCell ref="B5:C5"/>
    <mergeCell ref="B4:I4"/>
    <mergeCell ref="A21:A23"/>
    <mergeCell ref="B21:I21"/>
    <mergeCell ref="B22:C22"/>
    <mergeCell ref="D22:E22"/>
    <mergeCell ref="A141:A143"/>
    <mergeCell ref="B141:I141"/>
    <mergeCell ref="B142:C142"/>
    <mergeCell ref="D142:E142"/>
    <mergeCell ref="F142:G142"/>
    <mergeCell ref="H142:I142"/>
    <mergeCell ref="A231:I233"/>
    <mergeCell ref="A217:A219"/>
    <mergeCell ref="B217:I217"/>
    <mergeCell ref="B218:C218"/>
    <mergeCell ref="D218:E218"/>
    <mergeCell ref="F218:G218"/>
    <mergeCell ref="H218:I218"/>
    <mergeCell ref="A251:I253"/>
    <mergeCell ref="A237:A239"/>
    <mergeCell ref="B237:I237"/>
    <mergeCell ref="B238:C238"/>
    <mergeCell ref="D238:E238"/>
    <mergeCell ref="F238:G238"/>
    <mergeCell ref="H238:I238"/>
    <mergeCell ref="A271:I273"/>
    <mergeCell ref="A257:A259"/>
    <mergeCell ref="B257:I257"/>
    <mergeCell ref="B258:C258"/>
    <mergeCell ref="D258:E258"/>
    <mergeCell ref="F258:G258"/>
    <mergeCell ref="H258:I258"/>
  </mergeCells>
  <phoneticPr fontId="9" type="noConversion"/>
  <printOptions horizontalCentered="1" verticalCentered="1"/>
  <pageMargins left="0.25" right="0.25" top="0.75" bottom="0.75" header="0.3" footer="0.3"/>
  <pageSetup scale="67" orientation="portrait" r:id="rId1"/>
  <headerFooter alignWithMargins="0">
    <oddHeader>&amp;A</oddHeader>
    <oddFooter>&amp;L&amp;F&amp;R&amp;D</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34</vt:i4>
      </vt:variant>
    </vt:vector>
  </HeadingPairs>
  <TitlesOfParts>
    <vt:vector size="34" baseType="lpstr">
      <vt:lpstr>Fecha</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vector>
  </TitlesOfParts>
  <Company>Informatica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Gabriel Parra González</cp:lastModifiedBy>
  <cp:lastPrinted>2018-04-19T15:25:42Z</cp:lastPrinted>
  <dcterms:created xsi:type="dcterms:W3CDTF">1998-06-22T14:37:40Z</dcterms:created>
  <dcterms:modified xsi:type="dcterms:W3CDTF">2026-09-10T18:34:24Z</dcterms:modified>
</cp:coreProperties>
</file>